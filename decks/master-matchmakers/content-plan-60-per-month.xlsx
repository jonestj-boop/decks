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onth 1" sheetId="2" state="visible" r:id="rId2"/>
    <sheet xmlns:r="http://schemas.openxmlformats.org/officeDocument/2006/relationships" name="Already owned (skip)" sheetId="3" state="visible" r:id="rId3"/>
    <sheet xmlns:r="http://schemas.openxmlformats.org/officeDocument/2006/relationships" name="Refreshes (outside the 60)" sheetId="4" state="visible" r:id="rId4"/>
    <sheet xmlns:r="http://schemas.openxmlformats.org/officeDocument/2006/relationships" name="Months 2-3 pipeline" sheetId="5" state="visible" r:id="rId5"/>
    <sheet xmlns:r="http://schemas.openxmlformats.org/officeDocument/2006/relationships" name="Q2 plan reconciliation" sheetId="6" state="visible" r:id="rId6"/>
    <sheet xmlns:r="http://schemas.openxmlformats.org/officeDocument/2006/relationships" name="Existing pages (GSC)" sheetId="7" state="visible" r:id="rId7"/>
  </sheets>
  <definedNames>
    <definedName name="_xlnm._FilterDatabase" localSheetId="1" hidden="1">'Month 1'!$A$1:$L$61</definedName>
    <definedName name="_xlnm._FilterDatabase" localSheetId="2" hidden="1">'Already owned (skip)'!$A$1:$F$26</definedName>
    <definedName name="_xlnm._FilterDatabase" localSheetId="3" hidden="1">'Refreshes (outside the 60)'!$A$1:$B$12</definedName>
    <definedName name="_xlnm._FilterDatabase" localSheetId="4" hidden="1">'Months 2-3 pipeline'!$A$1:$J$42</definedName>
    <definedName name="_xlnm._FilterDatabase" localSheetId="5" hidden="1">'Q2 plan reconciliation'!$A$1:$G$181</definedName>
    <definedName name="_xlnm._FilterDatabase" localSheetId="6" hidden="1">'Existing pages (GSC)'!$A$1:$D$334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11111"/>
      <sz val="14"/>
    </font>
    <font>
      <name val="Arial"/>
      <color rgb="00111111"/>
      <sz val="10"/>
    </font>
    <font>
      <name val="Arial"/>
      <b val="1"/>
      <color rgb="00FF333C"/>
      <sz val="10"/>
    </font>
    <font>
      <name val="Arial"/>
      <sz val="10"/>
    </font>
    <font>
      <name val="Arial"/>
      <b val="1"/>
      <sz val="10"/>
    </font>
    <font>
      <name val="Arial"/>
      <b val="1"/>
      <color rgb="00FFFFFF"/>
      <sz val="10"/>
    </font>
    <font>
      <name val="Arial"/>
      <i val="1"/>
      <sz val="10"/>
    </font>
  </fonts>
  <fills count="7">
    <fill>
      <patternFill/>
    </fill>
    <fill>
      <patternFill patternType="gray125"/>
    </fill>
    <fill>
      <patternFill patternType="solid">
        <fgColor rgb="00111111"/>
      </patternFill>
    </fill>
    <fill>
      <patternFill patternType="solid">
        <fgColor rgb="00E6F4EA"/>
      </patternFill>
    </fill>
    <fill>
      <patternFill patternType="solid">
        <fgColor rgb="00FFF4D6"/>
      </patternFill>
    </fill>
    <fill>
      <patternFill patternType="solid">
        <fgColor rgb="00FFE3E4"/>
      </patternFill>
    </fill>
    <fill>
      <patternFill patternType="solid">
        <fgColor rgb="00E8F0FE"/>
      </patternFill>
    </fill>
  </fills>
  <borders count="2">
    <border>
      <left/>
      <right/>
      <top/>
      <bottom/>
      <diagonal/>
    </border>
    <border>
      <bottom style="thin">
        <color rgb="00DDDDDD"/>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3" fontId="5" fillId="0" borderId="0" pivotButton="0" quotePrefix="0" xfId="0"/>
    <xf numFmtId="0" fontId="6" fillId="2" borderId="0" applyAlignment="1" pivotButton="0" quotePrefix="0" xfId="0">
      <alignment vertical="center" wrapText="1"/>
    </xf>
    <xf numFmtId="0" fontId="4" fillId="0" borderId="1" applyAlignment="1" pivotButton="0" quotePrefix="0" xfId="0">
      <alignment vertical="top" wrapText="1"/>
    </xf>
    <xf numFmtId="3" fontId="4"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7" fillId="0" borderId="0" pivotButton="0" quotePrefix="0" xfId="0"/>
    <xf numFmtId="0" fontId="5" fillId="6" borderId="1" applyAlignment="1" pivotButton="0" quotePrefix="0" xfId="0">
      <alignment vertical="top" wrapText="1"/>
    </xf>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showGridLines="0" workbookViewId="0">
      <selection activeCell="A1" sqref="A1"/>
    </sheetView>
  </sheetViews>
  <sheetFormatPr baseColWidth="8" defaultRowHeight="15"/>
  <cols>
    <col width="120" customWidth="1" min="1" max="1"/>
    <col width="14" customWidth="1" min="2" max="2"/>
  </cols>
  <sheetData>
    <row r="1">
      <c r="A1" s="1" t="inlineStr">
        <is>
          <t>Master Matchmakers: 60 articles a month</t>
        </is>
      </c>
    </row>
    <row r="2">
      <c r="A2" s="2" t="inlineStr">
        <is>
          <t>Built Oct 22, 2026 from Google Search Console (2026-07-23 to 2026-10-20, 90 days, 333 pages with impressions) and the earlier Q2 plan (Google Sheet 'Master Matchmakers — Keyword Research', tab 'Q2 Plan (180)').</t>
        </is>
      </c>
    </row>
    <row r="3">
      <c r="A3" s="2" t="inlineStr"/>
    </row>
    <row r="4">
      <c r="A4" s="3" t="inlineStr">
        <is>
          <t>What Steven asked for on the Oct 22 call</t>
        </is>
      </c>
    </row>
    <row r="5">
      <c r="A5" s="2" t="inlineStr">
        <is>
          <t>1. Local: start with Florida, then Texas, California, the Mid-Atlantic and New York. Bottom-of-funnel searches like 'best matchmaker in [city]'. Smaller markets first, where there's less competition.</t>
        </is>
      </c>
    </row>
    <row r="6">
      <c r="A6" s="2" t="inlineStr">
        <is>
          <t>2. Long tail: topics where the site already ranks just off page one (about positions 10-20). Write around those clusters to push them onto page one.</t>
        </is>
      </c>
    </row>
    <row r="7">
      <c r="A7" s="2" t="inlineStr">
        <is>
          <t>3. 60 articles a month, without cannibalizing existing content.</t>
        </is>
      </c>
    </row>
    <row r="8">
      <c r="A8" s="2" t="inlineStr"/>
    </row>
    <row r="9">
      <c r="A9" s="3" t="inlineStr">
        <is>
          <t>How cannibalization is checked</t>
        </is>
      </c>
    </row>
    <row r="10">
      <c r="A10" s="2" t="inlineStr">
        <is>
          <t>One article, one target search. No two articles in this plan share a target. The Q2 plan reused 36 targets, including 8 articles on 'new york matchmaker'.</t>
        </is>
      </c>
    </row>
    <row r="11">
      <c r="A11" s="2" t="inlineStr">
        <is>
          <t>Owner check: for each target and its close variants, the page that holds the most impressions in GSC today and that page's average position. Short searches only (6 words or fewer). Long AI-style questions rank high on tiny volume and would distort it.</t>
        </is>
      </c>
    </row>
    <row r="12">
      <c r="A12" s="2" t="inlineStr">
        <is>
          <t xml:space="preserve">    Owned (that page averages 10 or better) = don't write it. Improve that page instead (see 'Already owned').</t>
        </is>
      </c>
    </row>
    <row r="13">
      <c r="A13" s="2" t="inlineStr">
        <is>
          <t xml:space="preserve">    Watch (10-15) = the page sits just off page one. OK to write, but the article must be clearly narrower than the page and link to it.</t>
        </is>
      </c>
    </row>
    <row r="14">
      <c r="A14" s="2" t="inlineStr">
        <is>
          <t xml:space="preserve">    Clear = no existing page ranks for it in the top 15.</t>
        </is>
      </c>
    </row>
    <row r="15">
      <c r="A15" s="2" t="inlineStr">
        <is>
          <t>Every Owned row from the first draft was taken out (St. Pete, Clearwater, Cape Coral, Cleveland, Boston/DC cost, competitor cost pages). Those are listed under 'Already owned' with what to do instead.</t>
        </is>
      </c>
    </row>
    <row r="16">
      <c r="A16" s="2" t="inlineStr">
        <is>
          <t>Landing pages own '[city] matchmaker'. Articles for a city with a landing page go after a different search (cost, faith, a neighborhood) and link up to the landing page.</t>
        </is>
      </c>
    </row>
    <row r="17">
      <c r="A17" s="2" t="inlineStr">
        <is>
          <t>'Best matchmaker in [city]' articles go only to towns without a page. In Florida, the Fort Lauderdale, Orlando, Sarasota, Tampa and Florida landing pages already rank 3-10 for that search.</t>
        </is>
      </c>
    </row>
    <row r="18">
      <c r="A18" s="2" t="inlineStr"/>
    </row>
    <row r="19">
      <c r="A19" s="3" t="inlineStr">
        <is>
          <t>Before anyone writes</t>
        </is>
      </c>
    </row>
    <row r="20">
      <c r="A20" s="2" t="inlineStr">
        <is>
          <t>A 0 in the impressions column means no page targets that town yet, so GSC can't show any searches for it. It doesn't mean nobody searches. SEMrush gap data can't see these terms either (see the Q2 workbook's Read Me).</t>
        </is>
      </c>
    </row>
    <row r="21">
      <c r="A21" s="2" t="inlineStr">
        <is>
          <t>Scaled-content risk: about 25 town articles in one month is the pattern Google treats as doorway pages. Each one needs local substance (neighborhoods, who lives there, where people actually meet, seasonality). A template with the city name swapped won't do.</t>
        </is>
      </c>
    </row>
    <row r="22">
      <c r="A22" s="2" t="inlineStr">
        <is>
          <t>Before writing each article, search site:mastermatchmakers.com plus the town name, in case a post has gone live since this pull.</t>
        </is>
      </c>
    </row>
    <row r="23">
      <c r="A23" s="2" t="inlineStr">
        <is>
          <t>Months 2 and 3 are a pipeline, not a final list. Re-pull GSC after Month 1 is published, because new pages change which page owns what.</t>
        </is>
      </c>
    </row>
    <row r="24">
      <c r="A24" s="2" t="inlineStr"/>
    </row>
    <row r="25">
      <c r="A25" s="3" t="inlineStr">
        <is>
          <t>Month 1 at a glance</t>
        </is>
      </c>
    </row>
    <row r="26">
      <c r="A26" s="4" t="inlineStr">
        <is>
          <t>Local (Florida)</t>
        </is>
      </c>
      <c r="B26" s="5">
        <f>COUNTIF('Month 1'!B:B,"1 · Local (Florida)")</f>
        <v/>
      </c>
    </row>
    <row r="27">
      <c r="A27" s="4" t="inlineStr">
        <is>
          <t>Long tail (near page one)</t>
        </is>
      </c>
      <c r="B27" s="5">
        <f>COUNTIF('Month 1'!B:B,"2 · Long tail (near page one)")</f>
        <v/>
      </c>
    </row>
    <row r="28">
      <c r="A28" s="4" t="inlineStr">
        <is>
          <t>Total articles</t>
        </is>
      </c>
      <c r="B28" s="5">
        <f>COUNTA('Month 1'!A:A)-1</f>
        <v/>
      </c>
    </row>
    <row r="29">
      <c r="A29" s="4" t="inlineStr">
        <is>
          <t>Check: Clear</t>
        </is>
      </c>
      <c r="B29" s="5">
        <f>COUNTIF('Month 1'!I:I,"Clear")</f>
        <v/>
      </c>
    </row>
    <row r="30">
      <c r="A30" s="4" t="inlineStr">
        <is>
          <t>Check: Watch</t>
        </is>
      </c>
      <c r="B30" s="5">
        <f>COUNTIF('Month 1'!I:I,"Watch")</f>
        <v/>
      </c>
    </row>
    <row r="31">
      <c r="A31" s="4" t="inlineStr">
        <is>
          <t>Check: Owned (should be 0)</t>
        </is>
      </c>
      <c r="B31" s="5">
        <f>COUNTIF('Month 1'!I:I,"Owned")</f>
        <v/>
      </c>
    </row>
    <row r="32">
      <c r="A32" s="4" t="inlineStr">
        <is>
          <t>Measured GSC impressions behind Month 1 targets, 90d</t>
        </is>
      </c>
      <c r="B32" s="5">
        <f>SUM('Month 1'!F:F)</f>
        <v/>
      </c>
    </row>
    <row r="33">
      <c r="A33" s="4" t="inlineStr">
        <is>
          <t>Articles with no measured demand yet (town has no page)</t>
        </is>
      </c>
      <c r="B33" s="5">
        <f>COUNTIF('Month 1'!F:F,0)</f>
        <v/>
      </c>
    </row>
    <row r="34">
      <c r="A34" s="4" t="inlineStr">
        <is>
          <t>Targets used more than once (should be 0)</t>
        </is>
      </c>
      <c r="B34" s="5">
        <f>SUMPRODUCT(--(COUNTIF('Month 1'!E2:E61,'Month 1'!E2:E61)&gt;1))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22" customWidth="1" min="3" max="3"/>
    <col width="52" customWidth="1" min="4" max="4"/>
    <col width="32" customWidth="1" min="5" max="5"/>
    <col width="14" customWidth="1" min="6" max="6"/>
    <col width="34" customWidth="1" min="7" max="7"/>
    <col width="10" customWidth="1" min="8" max="8"/>
    <col width="14" customWidth="1" min="9" max="9"/>
    <col width="32" customWidth="1" min="10" max="10"/>
    <col width="13" customWidth="1" min="11" max="11"/>
    <col width="70" customWidth="1" min="12" max="12"/>
  </cols>
  <sheetData>
    <row r="1" ht="32" customHeight="1">
      <c r="A1" s="6" t="inlineStr">
        <is>
          <t>#</t>
        </is>
      </c>
      <c r="B1" s="6" t="inlineStr">
        <is>
          <t>Strategy</t>
        </is>
      </c>
      <c r="C1" s="6" t="inlineStr">
        <is>
          <t>Market / cluster</t>
        </is>
      </c>
      <c r="D1" s="6" t="inlineStr">
        <is>
          <t>Working title</t>
        </is>
      </c>
      <c r="E1" s="6" t="inlineStr">
        <is>
          <t>Primary target search (unique)</t>
        </is>
      </c>
      <c r="F1" s="6" t="inlineStr">
        <is>
          <t>GSC impressions, 90d (target + close variants)</t>
        </is>
      </c>
      <c r="G1" s="6" t="inlineStr">
        <is>
          <t>Page holding most of those impressions today</t>
        </is>
      </c>
      <c r="H1" s="6" t="inlineStr">
        <is>
          <t>Its avg position</t>
        </is>
      </c>
      <c r="I1" s="6" t="inlineStr">
        <is>
          <t>Cannibalization check</t>
        </is>
      </c>
      <c r="J1" s="6" t="inlineStr">
        <is>
          <t>Links to</t>
        </is>
      </c>
      <c r="K1" s="6" t="inlineStr">
        <is>
          <t>From Q2 plan row</t>
        </is>
      </c>
      <c r="L1" s="6" t="inlineStr">
        <is>
          <t>Notes</t>
        </is>
      </c>
    </row>
    <row r="2">
      <c r="A2" s="7" t="n">
        <v>1</v>
      </c>
      <c r="B2" s="7" t="inlineStr">
        <is>
          <t>1 · Local (Florida)</t>
        </is>
      </c>
      <c r="C2" s="7" t="inlineStr">
        <is>
          <t>Palm Beach</t>
        </is>
      </c>
      <c r="D2" s="7" t="inlineStr">
        <is>
          <t>Palm Beach Matchmaker: Introductions on the Island</t>
        </is>
      </c>
      <c r="E2" s="7" t="inlineStr">
        <is>
          <t>palm beach matchmaker</t>
        </is>
      </c>
      <c r="F2" s="8" t="n">
        <v>681</v>
      </c>
      <c r="G2" s="7" t="inlineStr">
        <is>
          <t>/west-palm-beach-matchmaker</t>
        </is>
      </c>
      <c r="H2" s="7" t="n">
        <v>20</v>
      </c>
      <c r="I2" s="9" t="inlineStr">
        <is>
          <t>Clear</t>
        </is>
      </c>
      <c r="J2" s="7" t="inlineStr">
        <is>
          <t>/west-palm-beach-matchmaker</t>
        </is>
      </c>
      <c r="K2" s="7" t="inlineStr">
        <is>
          <t>18, 19 (merged)</t>
        </is>
      </c>
      <c r="L2" s="7" t="inlineStr">
        <is>
          <t>One article, not two. Also covers 'millionaire matchmaker palm beach'. Keep it about the Town of Palm Beach; the West Palm blog (18690) covers the city.</t>
        </is>
      </c>
    </row>
    <row r="3">
      <c r="A3" s="7" t="n">
        <v>2</v>
      </c>
      <c r="B3" s="7" t="inlineStr">
        <is>
          <t>1 · Local (Florida)</t>
        </is>
      </c>
      <c r="C3" s="7" t="inlineStr">
        <is>
          <t>Boca Raton</t>
        </is>
      </c>
      <c r="D3" s="7" t="inlineStr">
        <is>
          <t>Best Matchmakers in Boca Raton (2026)</t>
        </is>
      </c>
      <c r="E3" s="7" t="inlineStr">
        <is>
          <t>boca raton matchmaker</t>
        </is>
      </c>
      <c r="F3" s="8" t="n">
        <v>248</v>
      </c>
      <c r="G3" s="7" t="inlineStr">
        <is>
          <t>/florida-matchmaker</t>
        </is>
      </c>
      <c r="H3" s="7" t="n">
        <v>20.7</v>
      </c>
      <c r="I3" s="9" t="inlineStr">
        <is>
          <t>Clear</t>
        </is>
      </c>
      <c r="J3" s="7" t="inlineStr">
        <is>
          <t>/florida-matchmaker; /fort-lauderdale-matchmaker</t>
        </is>
      </c>
      <c r="K3" s="7" t="inlineStr">
        <is>
          <t>148</t>
        </is>
      </c>
      <c r="L3" s="7" t="inlineStr">
        <is>
          <t>No Boca page exists. The Florida page is ranking for these at ~30.</t>
        </is>
      </c>
    </row>
    <row r="4">
      <c r="A4" s="7" t="n">
        <v>3</v>
      </c>
      <c r="B4" s="7" t="inlineStr">
        <is>
          <t>1 · Local (Florida)</t>
        </is>
      </c>
      <c r="C4" s="7" t="inlineStr">
        <is>
          <t>Treasure Coast</t>
        </is>
      </c>
      <c r="D4" s="7" t="inlineStr">
        <is>
          <t>Treasure Coast Matchmaker: Stuart, Port St. Lucie and Hobe Sound</t>
        </is>
      </c>
      <c r="E4" s="7" t="inlineStr">
        <is>
          <t>stuart fl matchmaker</t>
        </is>
      </c>
      <c r="F4" s="8" t="n">
        <v>0</v>
      </c>
      <c r="G4" s="7" t="inlineStr">
        <is>
          <t>none</t>
        </is>
      </c>
      <c r="H4" s="7" t="inlineStr">
        <is>
          <t>—</t>
        </is>
      </c>
      <c r="I4" s="9" t="inlineStr">
        <is>
          <t>Clear</t>
        </is>
      </c>
      <c r="J4" s="7" t="inlineStr">
        <is>
          <t>/west-palm-beach-matchmaker; /florida-matchmaker</t>
        </is>
      </c>
      <c r="K4" s="7" t="inlineStr">
        <is>
          <t>—</t>
        </is>
      </c>
      <c r="L4" s="7" t="inlineStr"/>
    </row>
    <row r="5">
      <c r="A5" s="7" t="n">
        <v>4</v>
      </c>
      <c r="B5" s="7" t="inlineStr">
        <is>
          <t>1 · Local (Florida)</t>
        </is>
      </c>
      <c r="C5" s="7" t="inlineStr">
        <is>
          <t>Venice</t>
        </is>
      </c>
      <c r="D5" s="7" t="inlineStr">
        <is>
          <t>Venice, FL Matchmaker: Introductions South of Sarasota</t>
        </is>
      </c>
      <c r="E5" s="7" t="inlineStr">
        <is>
          <t>venice fl matchmaker</t>
        </is>
      </c>
      <c r="F5" s="8" t="n">
        <v>0</v>
      </c>
      <c r="G5" s="7" t="inlineStr">
        <is>
          <t>none</t>
        </is>
      </c>
      <c r="H5" s="7" t="inlineStr">
        <is>
          <t>—</t>
        </is>
      </c>
      <c r="I5" s="9" t="inlineStr">
        <is>
          <t>Clear</t>
        </is>
      </c>
      <c r="J5" s="7" t="inlineStr">
        <is>
          <t>/sarasota-matchmaker</t>
        </is>
      </c>
      <c r="K5" s="7" t="inlineStr">
        <is>
          <t>—</t>
        </is>
      </c>
      <c r="L5" s="7" t="inlineStr"/>
    </row>
    <row r="6">
      <c r="A6" s="7" t="n">
        <v>5</v>
      </c>
      <c r="B6" s="7" t="inlineStr">
        <is>
          <t>1 · Local (Florida)</t>
        </is>
      </c>
      <c r="C6" s="7" t="inlineStr">
        <is>
          <t>Amelia Island</t>
        </is>
      </c>
      <c r="D6" s="7" t="inlineStr">
        <is>
          <t>Amelia Island Matchmaker: Fernandina Beach and Northeast Florida</t>
        </is>
      </c>
      <c r="E6" s="7" t="inlineStr">
        <is>
          <t>amelia island matchmaker</t>
        </is>
      </c>
      <c r="F6" s="8" t="n">
        <v>0</v>
      </c>
      <c r="G6" s="7" t="inlineStr">
        <is>
          <t>none</t>
        </is>
      </c>
      <c r="H6" s="7" t="inlineStr">
        <is>
          <t>—</t>
        </is>
      </c>
      <c r="I6" s="9" t="inlineStr">
        <is>
          <t>Clear</t>
        </is>
      </c>
      <c r="J6" s="7" t="inlineStr">
        <is>
          <t>/jacksonville-matchmaker</t>
        </is>
      </c>
      <c r="K6" s="7" t="inlineStr">
        <is>
          <t>—</t>
        </is>
      </c>
      <c r="L6" s="7" t="inlineStr"/>
    </row>
    <row r="7">
      <c r="A7" s="7" t="n">
        <v>6</v>
      </c>
      <c r="B7" s="7" t="inlineStr">
        <is>
          <t>1 · Local (Florida)</t>
        </is>
      </c>
      <c r="C7" s="7" t="inlineStr">
        <is>
          <t>Naples</t>
        </is>
      </c>
      <c r="D7" s="7" t="inlineStr">
        <is>
          <t>Best Matchmakers in Naples, FL (2026)</t>
        </is>
      </c>
      <c r="E7" s="7" t="inlineStr">
        <is>
          <t>naples matchmaker</t>
        </is>
      </c>
      <c r="F7" s="8" t="n">
        <v>16</v>
      </c>
      <c r="G7" s="7" t="inlineStr">
        <is>
          <t>/florida-matchmaker</t>
        </is>
      </c>
      <c r="H7" s="7" t="n">
        <v>10.5</v>
      </c>
      <c r="I7" s="9" t="inlineStr">
        <is>
          <t>Clear</t>
        </is>
      </c>
      <c r="J7" s="7" t="inlineStr">
        <is>
          <t>/fort-myers-matchmaker; /florida-matchmaker</t>
        </is>
      </c>
      <c r="K7" s="7" t="inlineStr">
        <is>
          <t>—</t>
        </is>
      </c>
      <c r="L7" s="7" t="inlineStr">
        <is>
          <t>No page; demand is low because nothing targets it yet.</t>
        </is>
      </c>
    </row>
    <row r="8">
      <c r="A8" s="7" t="n">
        <v>7</v>
      </c>
      <c r="B8" s="7" t="inlineStr">
        <is>
          <t>1 · Local (Florida)</t>
        </is>
      </c>
      <c r="C8" s="7" t="inlineStr">
        <is>
          <t>Coral Gables</t>
        </is>
      </c>
      <c r="D8" s="7" t="inlineStr">
        <is>
          <t>Coral Gables Matchmaker: A Smaller Search Inside Miami</t>
        </is>
      </c>
      <c r="E8" s="7" t="inlineStr">
        <is>
          <t>coral gables matchmaker</t>
        </is>
      </c>
      <c r="F8" s="8" t="n">
        <v>0</v>
      </c>
      <c r="G8" s="7" t="inlineStr">
        <is>
          <t>none</t>
        </is>
      </c>
      <c r="H8" s="7" t="inlineStr">
        <is>
          <t>—</t>
        </is>
      </c>
      <c r="I8" s="9" t="inlineStr">
        <is>
          <t>Clear</t>
        </is>
      </c>
      <c r="J8" s="7" t="inlineStr">
        <is>
          <t>/miami-matchmaker</t>
        </is>
      </c>
      <c r="K8" s="7" t="inlineStr">
        <is>
          <t>176</t>
        </is>
      </c>
      <c r="L8" s="7" t="inlineStr"/>
    </row>
    <row r="9">
      <c r="A9" s="7" t="n">
        <v>8</v>
      </c>
      <c r="B9" s="7" t="inlineStr">
        <is>
          <t>1 · Local (Florida)</t>
        </is>
      </c>
      <c r="C9" s="7" t="inlineStr">
        <is>
          <t>Key Biscayne</t>
        </is>
      </c>
      <c r="D9" s="7" t="inlineStr">
        <is>
          <t>Key Biscayne Matchmaker: Dating When Everyone Knows Your Name</t>
        </is>
      </c>
      <c r="E9" s="7" t="inlineStr">
        <is>
          <t>key biscayne matchmaker</t>
        </is>
      </c>
      <c r="F9" s="8" t="n">
        <v>0</v>
      </c>
      <c r="G9" s="7" t="inlineStr">
        <is>
          <t>none</t>
        </is>
      </c>
      <c r="H9" s="7" t="inlineStr">
        <is>
          <t>—</t>
        </is>
      </c>
      <c r="I9" s="9" t="inlineStr">
        <is>
          <t>Clear</t>
        </is>
      </c>
      <c r="J9" s="7" t="inlineStr">
        <is>
          <t>/miami-matchmaker</t>
        </is>
      </c>
      <c r="K9" s="7" t="inlineStr">
        <is>
          <t>177</t>
        </is>
      </c>
      <c r="L9" s="7" t="inlineStr"/>
    </row>
    <row r="10">
      <c r="A10" s="7" t="n">
        <v>9</v>
      </c>
      <c r="B10" s="7" t="inlineStr">
        <is>
          <t>1 · Local (Florida)</t>
        </is>
      </c>
      <c r="C10" s="7" t="inlineStr">
        <is>
          <t>Jupiter</t>
        </is>
      </c>
      <c r="D10" s="7" t="inlineStr">
        <is>
          <t>Best Matchmakers in Jupiter, FL (2026)</t>
        </is>
      </c>
      <c r="E10" s="7" t="inlineStr">
        <is>
          <t>jupiter matchmaker</t>
        </is>
      </c>
      <c r="F10" s="8" t="n">
        <v>0</v>
      </c>
      <c r="G10" s="7" t="inlineStr">
        <is>
          <t>none</t>
        </is>
      </c>
      <c r="H10" s="7" t="inlineStr">
        <is>
          <t>—</t>
        </is>
      </c>
      <c r="I10" s="9" t="inlineStr">
        <is>
          <t>Clear</t>
        </is>
      </c>
      <c r="J10" s="7" t="inlineStr">
        <is>
          <t>/west-palm-beach-matchmaker</t>
        </is>
      </c>
      <c r="K10" s="7" t="inlineStr">
        <is>
          <t>—</t>
        </is>
      </c>
      <c r="L10" s="7" t="inlineStr"/>
    </row>
    <row r="11">
      <c r="A11" s="7" t="n">
        <v>10</v>
      </c>
      <c r="B11" s="7" t="inlineStr">
        <is>
          <t>1 · Local (Florida)</t>
        </is>
      </c>
      <c r="C11" s="7" t="inlineStr">
        <is>
          <t>Delray Beach</t>
        </is>
      </c>
      <c r="D11" s="7" t="inlineStr">
        <is>
          <t>Delray Beach Matchmaker: Meeting Someone Serious in a Weekend Town</t>
        </is>
      </c>
      <c r="E11" s="7" t="inlineStr">
        <is>
          <t>delray beach matchmaker</t>
        </is>
      </c>
      <c r="F11" s="8" t="n">
        <v>0</v>
      </c>
      <c r="G11" s="7" t="inlineStr">
        <is>
          <t>none</t>
        </is>
      </c>
      <c r="H11" s="7" t="inlineStr">
        <is>
          <t>—</t>
        </is>
      </c>
      <c r="I11" s="9" t="inlineStr">
        <is>
          <t>Clear</t>
        </is>
      </c>
      <c r="J11" s="7" t="inlineStr">
        <is>
          <t>/west-palm-beach-matchmaker</t>
        </is>
      </c>
      <c r="K11" s="7" t="inlineStr">
        <is>
          <t>—</t>
        </is>
      </c>
      <c r="L11" s="7" t="inlineStr"/>
    </row>
    <row r="12">
      <c r="A12" s="7" t="n">
        <v>11</v>
      </c>
      <c r="B12" s="7" t="inlineStr">
        <is>
          <t>1 · Local (Florida)</t>
        </is>
      </c>
      <c r="C12" s="7" t="inlineStr">
        <is>
          <t>Wellington</t>
        </is>
      </c>
      <c r="D12" s="7" t="inlineStr">
        <is>
          <t>Wellington Matchmaker: Dating Around the Equestrian Season</t>
        </is>
      </c>
      <c r="E12" s="7" t="inlineStr">
        <is>
          <t>wellington matchmaker</t>
        </is>
      </c>
      <c r="F12" s="8" t="n">
        <v>0</v>
      </c>
      <c r="G12" s="7" t="inlineStr">
        <is>
          <t>none</t>
        </is>
      </c>
      <c r="H12" s="7" t="inlineStr">
        <is>
          <t>—</t>
        </is>
      </c>
      <c r="I12" s="9" t="inlineStr">
        <is>
          <t>Clear</t>
        </is>
      </c>
      <c r="J12" s="7" t="inlineStr">
        <is>
          <t>/west-palm-beach-matchmaker</t>
        </is>
      </c>
      <c r="K12" s="7" t="inlineStr">
        <is>
          <t>—</t>
        </is>
      </c>
      <c r="L12" s="7" t="inlineStr"/>
    </row>
    <row r="13">
      <c r="A13" s="7" t="n">
        <v>12</v>
      </c>
      <c r="B13" s="7" t="inlineStr">
        <is>
          <t>1 · Local (Florida)</t>
        </is>
      </c>
      <c r="C13" s="7" t="inlineStr">
        <is>
          <t>Aventura</t>
        </is>
      </c>
      <c r="D13" s="7" t="inlineStr">
        <is>
          <t>Aventura Matchmaker: Introductions North of Miami Beach</t>
        </is>
      </c>
      <c r="E13" s="7" t="inlineStr">
        <is>
          <t>aventura matchmaker</t>
        </is>
      </c>
      <c r="F13" s="8" t="n">
        <v>0</v>
      </c>
      <c r="G13" s="7" t="inlineStr">
        <is>
          <t>none</t>
        </is>
      </c>
      <c r="H13" s="7" t="inlineStr">
        <is>
          <t>—</t>
        </is>
      </c>
      <c r="I13" s="9" t="inlineStr">
        <is>
          <t>Clear</t>
        </is>
      </c>
      <c r="J13" s="7" t="inlineStr">
        <is>
          <t>/miami-matchmaker</t>
        </is>
      </c>
      <c r="K13" s="7" t="inlineStr">
        <is>
          <t>—</t>
        </is>
      </c>
      <c r="L13" s="7" t="inlineStr"/>
    </row>
    <row r="14">
      <c r="A14" s="7" t="n">
        <v>13</v>
      </c>
      <c r="B14" s="7" t="inlineStr">
        <is>
          <t>1 · Local (Florida)</t>
        </is>
      </c>
      <c r="C14" s="7" t="inlineStr">
        <is>
          <t>Weston</t>
        </is>
      </c>
      <c r="D14" s="7" t="inlineStr">
        <is>
          <t>Weston Matchmaker for Professionals Who Want Someone Local</t>
        </is>
      </c>
      <c r="E14" s="7" t="inlineStr">
        <is>
          <t>weston matchmaker</t>
        </is>
      </c>
      <c r="F14" s="8" t="n">
        <v>0</v>
      </c>
      <c r="G14" s="7" t="inlineStr">
        <is>
          <t>none</t>
        </is>
      </c>
      <c r="H14" s="7" t="inlineStr">
        <is>
          <t>—</t>
        </is>
      </c>
      <c r="I14" s="9" t="inlineStr">
        <is>
          <t>Clear</t>
        </is>
      </c>
      <c r="J14" s="7" t="inlineStr">
        <is>
          <t>/fort-lauderdale-matchmaker</t>
        </is>
      </c>
      <c r="K14" s="7" t="inlineStr">
        <is>
          <t>—</t>
        </is>
      </c>
      <c r="L14" s="7" t="inlineStr"/>
    </row>
    <row r="15">
      <c r="A15" s="7" t="n">
        <v>14</v>
      </c>
      <c r="B15" s="7" t="inlineStr">
        <is>
          <t>1 · Local (Florida)</t>
        </is>
      </c>
      <c r="C15" s="7" t="inlineStr">
        <is>
          <t>Winter Park</t>
        </is>
      </c>
      <c r="D15" s="7" t="inlineStr">
        <is>
          <t>Winter Park Matchmaker: A Quieter Search Than Orlando</t>
        </is>
      </c>
      <c r="E15" s="7" t="inlineStr">
        <is>
          <t>winter park matchmaker</t>
        </is>
      </c>
      <c r="F15" s="8" t="n">
        <v>1</v>
      </c>
      <c r="G15" s="7" t="inlineStr">
        <is>
          <t>/tv-media/blogs/id/18610/dating-in-orlando-what-makes-central-florida-different-and-why-it-matters</t>
        </is>
      </c>
      <c r="H15" s="7" t="n">
        <v>5</v>
      </c>
      <c r="I15" s="9" t="inlineStr">
        <is>
          <t>Clear</t>
        </is>
      </c>
      <c r="J15" s="7" t="inlineStr">
        <is>
          <t>/orlando-matchmaker</t>
        </is>
      </c>
      <c r="K15" s="7" t="inlineStr">
        <is>
          <t>—</t>
        </is>
      </c>
      <c r="L15" s="7" t="inlineStr"/>
    </row>
    <row r="16">
      <c r="A16" s="7" t="n">
        <v>15</v>
      </c>
      <c r="B16" s="7" t="inlineStr">
        <is>
          <t>1 · Local (Florida)</t>
        </is>
      </c>
      <c r="C16" s="7" t="inlineStr">
        <is>
          <t>Lake Nona</t>
        </is>
      </c>
      <c r="D16" s="7" t="inlineStr">
        <is>
          <t>Lake Nona Matchmaker: Dating in Orlando's Medical City</t>
        </is>
      </c>
      <c r="E16" s="7" t="inlineStr">
        <is>
          <t>lake nona matchmaker</t>
        </is>
      </c>
      <c r="F16" s="8" t="n">
        <v>0</v>
      </c>
      <c r="G16" s="7" t="inlineStr">
        <is>
          <t>none</t>
        </is>
      </c>
      <c r="H16" s="7" t="inlineStr">
        <is>
          <t>—</t>
        </is>
      </c>
      <c r="I16" s="9" t="inlineStr">
        <is>
          <t>Clear</t>
        </is>
      </c>
      <c r="J16" s="7" t="inlineStr">
        <is>
          <t>/orlando-matchmaker</t>
        </is>
      </c>
      <c r="K16" s="7" t="inlineStr">
        <is>
          <t>—</t>
        </is>
      </c>
      <c r="L16" s="7" t="inlineStr"/>
    </row>
    <row r="17">
      <c r="A17" s="7" t="n">
        <v>16</v>
      </c>
      <c r="B17" s="7" t="inlineStr">
        <is>
          <t>1 · Local (Florida)</t>
        </is>
      </c>
      <c r="C17" s="7" t="inlineStr">
        <is>
          <t>Ponte Vedra Beach</t>
        </is>
      </c>
      <c r="D17" s="7" t="inlineStr">
        <is>
          <t>Ponte Vedra Matchmaker: Discreet Introductions South of Jacksonville</t>
        </is>
      </c>
      <c r="E17" s="7" t="inlineStr">
        <is>
          <t>ponte vedra matchmaker</t>
        </is>
      </c>
      <c r="F17" s="8" t="n">
        <v>0</v>
      </c>
      <c r="G17" s="7" t="inlineStr">
        <is>
          <t>none</t>
        </is>
      </c>
      <c r="H17" s="7" t="inlineStr">
        <is>
          <t>—</t>
        </is>
      </c>
      <c r="I17" s="9" t="inlineStr">
        <is>
          <t>Clear</t>
        </is>
      </c>
      <c r="J17" s="7" t="inlineStr">
        <is>
          <t>/jacksonville-matchmaker</t>
        </is>
      </c>
      <c r="K17" s="7" t="inlineStr">
        <is>
          <t>—</t>
        </is>
      </c>
      <c r="L17" s="7" t="inlineStr"/>
    </row>
    <row r="18">
      <c r="A18" s="7" t="n">
        <v>17</v>
      </c>
      <c r="B18" s="7" t="inlineStr">
        <is>
          <t>1 · Local (Florida)</t>
        </is>
      </c>
      <c r="C18" s="7" t="inlineStr">
        <is>
          <t>St. Augustine</t>
        </is>
      </c>
      <c r="D18" s="7" t="inlineStr">
        <is>
          <t>St. Augustine Matchmaker: Dating in a Small City With a Weekend Crowd</t>
        </is>
      </c>
      <c r="E18" s="7" t="inlineStr">
        <is>
          <t>st augustine matchmaker</t>
        </is>
      </c>
      <c r="F18" s="8" t="n">
        <v>0</v>
      </c>
      <c r="G18" s="7" t="inlineStr">
        <is>
          <t>none</t>
        </is>
      </c>
      <c r="H18" s="7" t="inlineStr">
        <is>
          <t>—</t>
        </is>
      </c>
      <c r="I18" s="9" t="inlineStr">
        <is>
          <t>Clear</t>
        </is>
      </c>
      <c r="J18" s="7" t="inlineStr">
        <is>
          <t>/jacksonville-matchmaker</t>
        </is>
      </c>
      <c r="K18" s="7" t="inlineStr">
        <is>
          <t>—</t>
        </is>
      </c>
      <c r="L18" s="7" t="inlineStr"/>
    </row>
    <row r="19">
      <c r="A19" s="7" t="n">
        <v>18</v>
      </c>
      <c r="B19" s="7" t="inlineStr">
        <is>
          <t>1 · Local (Florida)</t>
        </is>
      </c>
      <c r="C19" s="7" t="inlineStr">
        <is>
          <t>Lakewood Ranch</t>
        </is>
      </c>
      <c r="D19" s="7" t="inlineStr">
        <is>
          <t>Lakewood Ranch Matchmaker: Meeting Someone Who Plans to Stay</t>
        </is>
      </c>
      <c r="E19" s="7" t="inlineStr">
        <is>
          <t>lakewood ranch matchmaker</t>
        </is>
      </c>
      <c r="F19" s="8" t="n">
        <v>0</v>
      </c>
      <c r="G19" s="7" t="inlineStr">
        <is>
          <t>none</t>
        </is>
      </c>
      <c r="H19" s="7" t="inlineStr">
        <is>
          <t>—</t>
        </is>
      </c>
      <c r="I19" s="9" t="inlineStr">
        <is>
          <t>Clear</t>
        </is>
      </c>
      <c r="J19" s="7" t="inlineStr">
        <is>
          <t>/sarasota-matchmaker</t>
        </is>
      </c>
      <c r="K19" s="7" t="inlineStr">
        <is>
          <t>—</t>
        </is>
      </c>
      <c r="L19" s="7" t="inlineStr"/>
    </row>
    <row r="20">
      <c r="A20" s="7" t="n">
        <v>19</v>
      </c>
      <c r="B20" s="7" t="inlineStr">
        <is>
          <t>1 · Local (Florida)</t>
        </is>
      </c>
      <c r="C20" s="7" t="inlineStr">
        <is>
          <t>Bonita Springs / Estero</t>
        </is>
      </c>
      <c r="D20" s="7" t="inlineStr">
        <is>
          <t>Bonita Springs Matchmaker: Dating Between Naples and Fort Myers</t>
        </is>
      </c>
      <c r="E20" s="7" t="inlineStr">
        <is>
          <t>bonita springs matchmaker</t>
        </is>
      </c>
      <c r="F20" s="8" t="n">
        <v>0</v>
      </c>
      <c r="G20" s="7" t="inlineStr">
        <is>
          <t>none</t>
        </is>
      </c>
      <c r="H20" s="7" t="inlineStr">
        <is>
          <t>—</t>
        </is>
      </c>
      <c r="I20" s="9" t="inlineStr">
        <is>
          <t>Clear</t>
        </is>
      </c>
      <c r="J20" s="7" t="inlineStr">
        <is>
          <t>/fort-myers-matchmaker</t>
        </is>
      </c>
      <c r="K20" s="7" t="inlineStr">
        <is>
          <t>—</t>
        </is>
      </c>
      <c r="L20" s="7" t="inlineStr"/>
    </row>
    <row r="21">
      <c r="A21" s="7" t="n">
        <v>20</v>
      </c>
      <c r="B21" s="7" t="inlineStr">
        <is>
          <t>1 · Local (Florida)</t>
        </is>
      </c>
      <c r="C21" s="7" t="inlineStr">
        <is>
          <t>Marco Island</t>
        </is>
      </c>
      <c r="D21" s="7" t="inlineStr">
        <is>
          <t>Marco Island Matchmaker: Introductions for Year-Round Residents</t>
        </is>
      </c>
      <c r="E21" s="7" t="inlineStr">
        <is>
          <t>marco island matchmaker</t>
        </is>
      </c>
      <c r="F21" s="8" t="n">
        <v>0</v>
      </c>
      <c r="G21" s="7" t="inlineStr">
        <is>
          <t>none</t>
        </is>
      </c>
      <c r="H21" s="7" t="inlineStr">
        <is>
          <t>—</t>
        </is>
      </c>
      <c r="I21" s="9" t="inlineStr">
        <is>
          <t>Clear</t>
        </is>
      </c>
      <c r="J21" s="7" t="inlineStr">
        <is>
          <t>/fort-myers-matchmaker</t>
        </is>
      </c>
      <c r="K21" s="7" t="inlineStr">
        <is>
          <t>—</t>
        </is>
      </c>
      <c r="L21" s="7" t="inlineStr"/>
    </row>
    <row r="22">
      <c r="A22" s="7" t="n">
        <v>21</v>
      </c>
      <c r="B22" s="7" t="inlineStr">
        <is>
          <t>1 · Local (Florida)</t>
        </is>
      </c>
      <c r="C22" s="7" t="inlineStr">
        <is>
          <t>Vero Beach</t>
        </is>
      </c>
      <c r="D22" s="7" t="inlineStr">
        <is>
          <t>Vero Beach Matchmaker: A Small Pool, Searched Properly</t>
        </is>
      </c>
      <c r="E22" s="7" t="inlineStr">
        <is>
          <t>vero beach matchmaker</t>
        </is>
      </c>
      <c r="F22" s="8" t="n">
        <v>0</v>
      </c>
      <c r="G22" s="7" t="inlineStr">
        <is>
          <t>none</t>
        </is>
      </c>
      <c r="H22" s="7" t="inlineStr">
        <is>
          <t>—</t>
        </is>
      </c>
      <c r="I22" s="9" t="inlineStr">
        <is>
          <t>Clear</t>
        </is>
      </c>
      <c r="J22" s="7" t="inlineStr">
        <is>
          <t>/florida-matchmaker</t>
        </is>
      </c>
      <c r="K22" s="7" t="inlineStr">
        <is>
          <t>—</t>
        </is>
      </c>
      <c r="L22" s="7" t="inlineStr"/>
    </row>
    <row r="23">
      <c r="A23" s="7" t="n">
        <v>22</v>
      </c>
      <c r="B23" s="7" t="inlineStr">
        <is>
          <t>1 · Local (Florida)</t>
        </is>
      </c>
      <c r="C23" s="7" t="inlineStr">
        <is>
          <t>Tallahassee</t>
        </is>
      </c>
      <c r="D23" s="7" t="inlineStr">
        <is>
          <t>Tallahassee Matchmaker for Professionals Outside the Capitol Crowd</t>
        </is>
      </c>
      <c r="E23" s="7" t="inlineStr">
        <is>
          <t>tallahassee matchmaker</t>
        </is>
      </c>
      <c r="F23" s="8" t="n">
        <v>0</v>
      </c>
      <c r="G23" s="7" t="inlineStr">
        <is>
          <t>none</t>
        </is>
      </c>
      <c r="H23" s="7" t="inlineStr">
        <is>
          <t>—</t>
        </is>
      </c>
      <c r="I23" s="9" t="inlineStr">
        <is>
          <t>Clear</t>
        </is>
      </c>
      <c r="J23" s="7" t="inlineStr">
        <is>
          <t>/florida-matchmaker</t>
        </is>
      </c>
      <c r="K23" s="7" t="inlineStr">
        <is>
          <t>—</t>
        </is>
      </c>
      <c r="L23" s="7" t="inlineStr"/>
    </row>
    <row r="24">
      <c r="A24" s="7" t="n">
        <v>23</v>
      </c>
      <c r="B24" s="7" t="inlineStr">
        <is>
          <t>1 · Local (Florida)</t>
        </is>
      </c>
      <c r="C24" s="7" t="inlineStr">
        <is>
          <t>Gainesville</t>
        </is>
      </c>
      <c r="D24" s="7" t="inlineStr">
        <is>
          <t>Gainesville Matchmaker for Professionals Past the College Scene</t>
        </is>
      </c>
      <c r="E24" s="7" t="inlineStr">
        <is>
          <t>gainesville matchmaker</t>
        </is>
      </c>
      <c r="F24" s="8" t="n">
        <v>0</v>
      </c>
      <c r="G24" s="7" t="inlineStr">
        <is>
          <t>none</t>
        </is>
      </c>
      <c r="H24" s="7" t="inlineStr">
        <is>
          <t>—</t>
        </is>
      </c>
      <c r="I24" s="9" t="inlineStr">
        <is>
          <t>Clear</t>
        </is>
      </c>
      <c r="J24" s="7" t="inlineStr">
        <is>
          <t>/florida-matchmaker</t>
        </is>
      </c>
      <c r="K24" s="7" t="inlineStr">
        <is>
          <t>—</t>
        </is>
      </c>
      <c r="L24" s="7" t="inlineStr"/>
    </row>
    <row r="25">
      <c r="A25" s="7" t="n">
        <v>24</v>
      </c>
      <c r="B25" s="7" t="inlineStr">
        <is>
          <t>1 · Local (Florida)</t>
        </is>
      </c>
      <c r="C25" s="7" t="inlineStr">
        <is>
          <t>Pensacola</t>
        </is>
      </c>
      <c r="D25" s="7" t="inlineStr">
        <is>
          <t>Pensacola Matchmaker: Introductions on the Gulf Coast's Quiet End</t>
        </is>
      </c>
      <c r="E25" s="7" t="inlineStr">
        <is>
          <t>pensacola matchmaker</t>
        </is>
      </c>
      <c r="F25" s="8" t="n">
        <v>0</v>
      </c>
      <c r="G25" s="7" t="inlineStr">
        <is>
          <t>none</t>
        </is>
      </c>
      <c r="H25" s="7" t="inlineStr">
        <is>
          <t>—</t>
        </is>
      </c>
      <c r="I25" s="9" t="inlineStr">
        <is>
          <t>Clear</t>
        </is>
      </c>
      <c r="J25" s="7" t="inlineStr">
        <is>
          <t>/florida-matchmaker</t>
        </is>
      </c>
      <c r="K25" s="7" t="inlineStr">
        <is>
          <t>—</t>
        </is>
      </c>
      <c r="L25" s="7" t="inlineStr"/>
    </row>
    <row r="26">
      <c r="A26" s="7" t="n">
        <v>25</v>
      </c>
      <c r="B26" s="7" t="inlineStr">
        <is>
          <t>1 · Local (Florida)</t>
        </is>
      </c>
      <c r="C26" s="7" t="inlineStr">
        <is>
          <t>Destin / 30A</t>
        </is>
      </c>
      <c r="D26" s="7" t="inlineStr">
        <is>
          <t>Destin and 30A Matchmaker: Meeting Someone Who Lives Here Year-Round</t>
        </is>
      </c>
      <c r="E26" s="7" t="inlineStr">
        <is>
          <t>destin matchmaker</t>
        </is>
      </c>
      <c r="F26" s="8" t="n">
        <v>0</v>
      </c>
      <c r="G26" s="7" t="inlineStr">
        <is>
          <t>none</t>
        </is>
      </c>
      <c r="H26" s="7" t="inlineStr">
        <is>
          <t>—</t>
        </is>
      </c>
      <c r="I26" s="9" t="inlineStr">
        <is>
          <t>Clear</t>
        </is>
      </c>
      <c r="J26" s="7" t="inlineStr">
        <is>
          <t>/florida-matchmaker</t>
        </is>
      </c>
      <c r="K26" s="7" t="inlineStr">
        <is>
          <t>—</t>
        </is>
      </c>
      <c r="L26" s="7" t="inlineStr"/>
    </row>
    <row r="27">
      <c r="A27" s="7" t="n">
        <v>26</v>
      </c>
      <c r="B27" s="7" t="inlineStr">
        <is>
          <t>1 · Local (Florida)</t>
        </is>
      </c>
      <c r="C27" s="7" t="inlineStr">
        <is>
          <t>Space Coast</t>
        </is>
      </c>
      <c r="D27" s="7" t="inlineStr">
        <is>
          <t>Space Coast Matchmaker: Dating for Engineers and Professionals in Brevard</t>
        </is>
      </c>
      <c r="E27" s="7" t="inlineStr">
        <is>
          <t>melbourne fl matchmaker</t>
        </is>
      </c>
      <c r="F27" s="8" t="n">
        <v>17</v>
      </c>
      <c r="G27" s="7" t="inlineStr">
        <is>
          <t>/</t>
        </is>
      </c>
      <c r="H27" s="7" t="n">
        <v>59.8</v>
      </c>
      <c r="I27" s="9" t="inlineStr">
        <is>
          <t>Clear</t>
        </is>
      </c>
      <c r="J27" s="7" t="inlineStr">
        <is>
          <t>/orlando-matchmaker</t>
        </is>
      </c>
      <c r="K27" s="7" t="inlineStr">
        <is>
          <t>—</t>
        </is>
      </c>
      <c r="L27" s="7" t="inlineStr"/>
    </row>
    <row r="28">
      <c r="A28" s="7" t="n">
        <v>27</v>
      </c>
      <c r="B28" s="7" t="inlineStr">
        <is>
          <t>1 · Local (Florida)</t>
        </is>
      </c>
      <c r="C28" s="7" t="inlineStr">
        <is>
          <t>Ocala</t>
        </is>
      </c>
      <c r="D28" s="7" t="inlineStr">
        <is>
          <t>Ocala Matchmaker: Introductions in Horse Country</t>
        </is>
      </c>
      <c r="E28" s="7" t="inlineStr">
        <is>
          <t>ocala matchmaker</t>
        </is>
      </c>
      <c r="F28" s="8" t="n">
        <v>0</v>
      </c>
      <c r="G28" s="7" t="inlineStr">
        <is>
          <t>none</t>
        </is>
      </c>
      <c r="H28" s="7" t="inlineStr">
        <is>
          <t>—</t>
        </is>
      </c>
      <c r="I28" s="9" t="inlineStr">
        <is>
          <t>Clear</t>
        </is>
      </c>
      <c r="J28" s="7" t="inlineStr">
        <is>
          <t>/florida-matchmaker</t>
        </is>
      </c>
      <c r="K28" s="7" t="inlineStr">
        <is>
          <t>—</t>
        </is>
      </c>
      <c r="L28" s="7" t="inlineStr"/>
    </row>
    <row r="29">
      <c r="A29" s="7" t="n">
        <v>28</v>
      </c>
      <c r="B29" s="7" t="inlineStr">
        <is>
          <t>1 · Local (Florida)</t>
        </is>
      </c>
      <c r="C29" s="7" t="inlineStr">
        <is>
          <t>Lakeland</t>
        </is>
      </c>
      <c r="D29" s="7" t="inlineStr">
        <is>
          <t>Lakeland Matchmaker: Meeting Someone Between Tampa and Orlando</t>
        </is>
      </c>
      <c r="E29" s="7" t="inlineStr">
        <is>
          <t>lakeland matchmaker</t>
        </is>
      </c>
      <c r="F29" s="8" t="n">
        <v>0</v>
      </c>
      <c r="G29" s="7" t="inlineStr">
        <is>
          <t>none</t>
        </is>
      </c>
      <c r="H29" s="7" t="inlineStr">
        <is>
          <t>—</t>
        </is>
      </c>
      <c r="I29" s="9" t="inlineStr">
        <is>
          <t>Clear</t>
        </is>
      </c>
      <c r="J29" s="7" t="inlineStr">
        <is>
          <t>/tampa-bay-matchmaker</t>
        </is>
      </c>
      <c r="K29" s="7" t="inlineStr">
        <is>
          <t>—</t>
        </is>
      </c>
      <c r="L29" s="7" t="inlineStr"/>
    </row>
    <row r="30">
      <c r="A30" s="7" t="n">
        <v>29</v>
      </c>
      <c r="B30" s="7" t="inlineStr">
        <is>
          <t>1 · Local (Florida)</t>
        </is>
      </c>
      <c r="C30" s="7" t="inlineStr">
        <is>
          <t>Daytona / Ormond Beach</t>
        </is>
      </c>
      <c r="D30" s="7" t="inlineStr">
        <is>
          <t>Daytona and Ormond Beach Matchmaker: Introductions on the Fun Coast</t>
        </is>
      </c>
      <c r="E30" s="7" t="inlineStr">
        <is>
          <t>daytona beach matchmaker</t>
        </is>
      </c>
      <c r="F30" s="8" t="n">
        <v>0</v>
      </c>
      <c r="G30" s="7" t="inlineStr">
        <is>
          <t>none</t>
        </is>
      </c>
      <c r="H30" s="7" t="inlineStr">
        <is>
          <t>—</t>
        </is>
      </c>
      <c r="I30" s="9" t="inlineStr">
        <is>
          <t>Clear</t>
        </is>
      </c>
      <c r="J30" s="7" t="inlineStr">
        <is>
          <t>/orlando-matchmaker; /florida-matchmaker</t>
        </is>
      </c>
      <c r="K30" s="7" t="inlineStr">
        <is>
          <t>—</t>
        </is>
      </c>
      <c r="L30" s="7" t="inlineStr"/>
    </row>
    <row r="31">
      <c r="A31" s="7" t="n">
        <v>30</v>
      </c>
      <c r="B31" s="7" t="inlineStr">
        <is>
          <t>1 · Local (Florida)</t>
        </is>
      </c>
      <c r="C31" s="7" t="inlineStr">
        <is>
          <t>Jacksonville (faith)</t>
        </is>
      </c>
      <c r="D31" s="7" t="inlineStr">
        <is>
          <t>Christian Matchmaker in Jacksonville: Faith-First Introductions for Professionals</t>
        </is>
      </c>
      <c r="E31" s="7" t="inlineStr">
        <is>
          <t>faith-based matchmaking jacksonville fl</t>
        </is>
      </c>
      <c r="F31" s="8" t="n">
        <v>198</v>
      </c>
      <c r="G31" s="7" t="inlineStr">
        <is>
          <t>/jacksonville-matchmaker</t>
        </is>
      </c>
      <c r="H31" s="7" t="n">
        <v>13.3</v>
      </c>
      <c r="I31" s="10" t="inlineStr">
        <is>
          <t>Watch</t>
        </is>
      </c>
      <c r="J31" s="7" t="inlineStr">
        <is>
          <t>/jacksonville-matchmaker; /tv-media/blogs/id/18728</t>
        </is>
      </c>
      <c r="K31" s="7" t="inlineStr">
        <is>
          <t>—</t>
        </is>
      </c>
      <c r="L31" s="7" t="inlineStr">
        <is>
          <t>Jacksonville page ranks ~10-18 for these, but it isn't a faith page. Links to the general Christian matchmaking post.</t>
        </is>
      </c>
    </row>
    <row r="32">
      <c r="A32" s="7" t="n">
        <v>31</v>
      </c>
      <c r="B32" s="7" t="inlineStr">
        <is>
          <t>1 · Local (Florida)</t>
        </is>
      </c>
      <c r="C32" s="7" t="inlineStr">
        <is>
          <t>Florida (faith, executive)</t>
        </is>
      </c>
      <c r="D32" s="7" t="inlineStr">
        <is>
          <t>Executive Christian Matchmaking in Florida</t>
        </is>
      </c>
      <c r="E32" s="7" t="inlineStr">
        <is>
          <t>executive christian matchmaker florida</t>
        </is>
      </c>
      <c r="F32" s="8" t="n">
        <v>155</v>
      </c>
      <c r="G32" s="7" t="inlineStr">
        <is>
          <t>/florida-matchmaker</t>
        </is>
      </c>
      <c r="H32" s="7" t="n">
        <v>15.2</v>
      </c>
      <c r="I32" s="9" t="inlineStr">
        <is>
          <t>Clear</t>
        </is>
      </c>
      <c r="J32" s="7" t="inlineStr">
        <is>
          <t>/florida-matchmaker</t>
        </is>
      </c>
      <c r="K32" s="7" t="inlineStr">
        <is>
          <t>—</t>
        </is>
      </c>
      <c r="L32" s="7" t="inlineStr">
        <is>
          <t>Statewide and executive. The Jacksonville piece stays local, so they don't overlap.</t>
        </is>
      </c>
    </row>
    <row r="33">
      <c r="A33" s="7" t="n">
        <v>32</v>
      </c>
      <c r="B33" s="7" t="inlineStr">
        <is>
          <t>1 · Local (Florida)</t>
        </is>
      </c>
      <c r="C33" s="7" t="inlineStr">
        <is>
          <t>Miami (cost)</t>
        </is>
      </c>
      <c r="D33" s="7" t="inlineStr">
        <is>
          <t>What a Matchmaker Costs in Miami</t>
        </is>
      </c>
      <c r="E33" s="7" t="inlineStr">
        <is>
          <t>miami matchmaker cost</t>
        </is>
      </c>
      <c r="F33" s="8" t="n">
        <v>0</v>
      </c>
      <c r="G33" s="7" t="inlineStr">
        <is>
          <t>none</t>
        </is>
      </c>
      <c r="H33" s="7" t="inlineStr">
        <is>
          <t>—</t>
        </is>
      </c>
      <c r="I33" s="9" t="inlineStr">
        <is>
          <t>Clear</t>
        </is>
      </c>
      <c r="J33" s="7" t="inlineStr">
        <is>
          <t>/miami-matchmaker; cost guide 18598</t>
        </is>
      </c>
      <c r="K33" s="7" t="inlineStr">
        <is>
          <t>—</t>
        </is>
      </c>
      <c r="L33" s="7" t="inlineStr">
        <is>
          <t>Use Miami-specific numbers so it doesn't repeat the general cost guide. Same format as the live Charlotte and Austin cost posts.</t>
        </is>
      </c>
    </row>
    <row r="34">
      <c r="A34" s="7" t="n">
        <v>33</v>
      </c>
      <c r="B34" s="7" t="inlineStr">
        <is>
          <t>1 · Local (Florida)</t>
        </is>
      </c>
      <c r="C34" s="7" t="inlineStr">
        <is>
          <t>Tampa Bay (cost)</t>
        </is>
      </c>
      <c r="D34" s="7" t="inlineStr">
        <is>
          <t>What a Matchmaker Costs in Tampa Bay</t>
        </is>
      </c>
      <c r="E34" s="7" t="inlineStr">
        <is>
          <t>tampa matchmaker cost</t>
        </is>
      </c>
      <c r="F34" s="8" t="n">
        <v>0</v>
      </c>
      <c r="G34" s="7" t="inlineStr">
        <is>
          <t>none</t>
        </is>
      </c>
      <c r="H34" s="7" t="inlineStr">
        <is>
          <t>—</t>
        </is>
      </c>
      <c r="I34" s="9" t="inlineStr">
        <is>
          <t>Clear</t>
        </is>
      </c>
      <c r="J34" s="7" t="inlineStr">
        <is>
          <t>/tampa-bay-matchmaker; cost guide 18598</t>
        </is>
      </c>
      <c r="K34" s="7" t="inlineStr">
        <is>
          <t>—</t>
        </is>
      </c>
      <c r="L34" s="7" t="inlineStr"/>
    </row>
    <row r="35">
      <c r="A35" s="7" t="n">
        <v>34</v>
      </c>
      <c r="B35" s="7" t="inlineStr">
        <is>
          <t>1 · Local (Florida)</t>
        </is>
      </c>
      <c r="C35" s="7" t="inlineStr">
        <is>
          <t>Orlando (cost)</t>
        </is>
      </c>
      <c r="D35" s="7" t="inlineStr">
        <is>
          <t>What a Matchmaker Costs in Orlando</t>
        </is>
      </c>
      <c r="E35" s="7" t="inlineStr">
        <is>
          <t>orlando matchmaker cost</t>
        </is>
      </c>
      <c r="F35" s="8" t="n">
        <v>0</v>
      </c>
      <c r="G35" s="7" t="inlineStr">
        <is>
          <t>none</t>
        </is>
      </c>
      <c r="H35" s="7" t="inlineStr">
        <is>
          <t>—</t>
        </is>
      </c>
      <c r="I35" s="9" t="inlineStr">
        <is>
          <t>Clear</t>
        </is>
      </c>
      <c r="J35" s="7" t="inlineStr">
        <is>
          <t>/orlando-matchmaker; cost guide 18598</t>
        </is>
      </c>
      <c r="K35" s="7" t="inlineStr">
        <is>
          <t>—</t>
        </is>
      </c>
      <c r="L35" s="7" t="inlineStr"/>
    </row>
    <row r="36">
      <c r="A36" s="7" t="n">
        <v>35</v>
      </c>
      <c r="B36" s="7" t="inlineStr">
        <is>
          <t>2 · Long tail (near page one)</t>
        </is>
      </c>
      <c r="C36" s="7" t="inlineStr">
        <is>
          <t>Amy Laurent</t>
        </is>
      </c>
      <c r="D36" s="7" t="inlineStr">
        <is>
          <t>Amy Laurent Matchmaking: Reviews and Cost (2026)</t>
        </is>
      </c>
      <c r="E36" s="7" t="inlineStr">
        <is>
          <t>amy laurent matchmaking cost</t>
        </is>
      </c>
      <c r="F36" s="8" t="n">
        <v>88</v>
      </c>
      <c r="G36" s="7" t="inlineStr">
        <is>
          <t>/tv-media/blogs/id/18636/best-matchmakers-in-los-angeles-2026</t>
        </is>
      </c>
      <c r="H36" s="7" t="n">
        <v>11</v>
      </c>
      <c r="I36" s="10" t="inlineStr">
        <is>
          <t>Watch</t>
        </is>
      </c>
      <c r="J36" s="7" t="inlineStr">
        <is>
          <t>LA listicle 18636</t>
        </is>
      </c>
      <c r="K36" s="7" t="inlineStr">
        <is>
          <t>—</t>
        </is>
      </c>
      <c r="L36" s="7" t="inlineStr">
        <is>
          <t>The LA listicle ranks for this only because it mentions the firm. A dedicated page matches the search better. Same format as the live competitor review posts.</t>
        </is>
      </c>
    </row>
    <row r="37">
      <c r="A37" s="7" t="n">
        <v>36</v>
      </c>
      <c r="B37" s="7" t="inlineStr">
        <is>
          <t>2 · Long tail (near page one)</t>
        </is>
      </c>
      <c r="C37" s="7" t="inlineStr">
        <is>
          <t>Single Atlanta</t>
        </is>
      </c>
      <c r="D37" s="7" t="inlineStr">
        <is>
          <t>Single Atlanta Matchmaking Reviews (2026)</t>
        </is>
      </c>
      <c r="E37" s="7" t="inlineStr">
        <is>
          <t>single atlanta matchmaking reviews</t>
        </is>
      </c>
      <c r="F37" s="8" t="n">
        <v>120</v>
      </c>
      <c r="G37" s="7" t="inlineStr">
        <is>
          <t>/atlanta-matchmaker</t>
        </is>
      </c>
      <c r="H37" s="7" t="n">
        <v>11.3</v>
      </c>
      <c r="I37" s="10" t="inlineStr">
        <is>
          <t>Watch</t>
        </is>
      </c>
      <c r="J37" s="7" t="inlineStr">
        <is>
          <t>/atlanta-matchmaker; Atlanta listicle 18642</t>
        </is>
      </c>
      <c r="K37" s="7" t="inlineStr">
        <is>
          <t>—</t>
        </is>
      </c>
      <c r="L37" s="7" t="inlineStr">
        <is>
          <t>A local competitor's brand-review search that the Atlanta page catches by accident. Confirm the firm and its details before writing.</t>
        </is>
      </c>
    </row>
    <row r="38">
      <c r="A38" s="7" t="n">
        <v>37</v>
      </c>
      <c r="B38" s="7" t="inlineStr">
        <is>
          <t>2 · Long tail (near page one)</t>
        </is>
      </c>
      <c r="C38" s="7" t="inlineStr">
        <is>
          <t>Private matchmaking</t>
        </is>
      </c>
      <c r="D38" s="7" t="inlineStr">
        <is>
          <t>Private Matchmakers: What Discretion Actually Covers</t>
        </is>
      </c>
      <c r="E38" s="7" t="inlineStr">
        <is>
          <t>private matchmakers</t>
        </is>
      </c>
      <c r="F38" s="8" t="n">
        <v>898</v>
      </c>
      <c r="G38" s="7" t="inlineStr">
        <is>
          <t>/</t>
        </is>
      </c>
      <c r="H38" s="7" t="n">
        <v>40.5</v>
      </c>
      <c r="I38" s="9" t="inlineStr">
        <is>
          <t>Clear</t>
        </is>
      </c>
      <c r="J38" s="7" t="inlineStr">
        <is>
          <t>/; /pricing</t>
        </is>
      </c>
      <c r="K38" s="7" t="inlineStr">
        <is>
          <t>112</t>
        </is>
      </c>
      <c r="L38" s="7" t="inlineStr">
        <is>
          <t>The LA landing page is catching this generic search at ~17. No post targets it.</t>
        </is>
      </c>
    </row>
    <row r="39">
      <c r="A39" s="7" t="n">
        <v>38</v>
      </c>
      <c r="B39" s="7" t="inlineStr">
        <is>
          <t>2 · Long tail (near page one)</t>
        </is>
      </c>
      <c r="C39" s="7" t="inlineStr">
        <is>
          <t>Young professionals</t>
        </is>
      </c>
      <c r="D39" s="7" t="inlineStr">
        <is>
          <t>Matchmakers for Young Professionals</t>
        </is>
      </c>
      <c r="E39" s="7" t="inlineStr">
        <is>
          <t>matchmaker for young professionals</t>
        </is>
      </c>
      <c r="F39" s="8" t="n">
        <v>207</v>
      </c>
      <c r="G39" s="7" t="inlineStr">
        <is>
          <t>/</t>
        </is>
      </c>
      <c r="H39" s="7" t="n">
        <v>38.5</v>
      </c>
      <c r="I39" s="9" t="inlineStr">
        <is>
          <t>Clear</t>
        </is>
      </c>
      <c r="J39" s="7" t="inlineStr">
        <is>
          <t>/</t>
        </is>
      </c>
      <c r="K39" s="7" t="inlineStr">
        <is>
          <t>—</t>
        </is>
      </c>
      <c r="L39" s="7" t="inlineStr">
        <is>
          <t>The Missouri page catches this at ~17. Fits next to the live audience posts (women, men, seniors, divorced).</t>
        </is>
      </c>
    </row>
    <row r="40">
      <c r="A40" s="7" t="n">
        <v>39</v>
      </c>
      <c r="B40" s="7" t="inlineStr">
        <is>
          <t>2 · Long tail (near page one)</t>
        </is>
      </c>
      <c r="C40" s="7" t="inlineStr">
        <is>
          <t>Atlanta (cost)</t>
        </is>
      </c>
      <c r="D40" s="7" t="inlineStr">
        <is>
          <t>What a Matchmaker Costs in Atlanta</t>
        </is>
      </c>
      <c r="E40" s="7" t="inlineStr">
        <is>
          <t>atlanta matchmaker cost</t>
        </is>
      </c>
      <c r="F40" s="8" t="n">
        <v>89</v>
      </c>
      <c r="G40" s="7" t="inlineStr">
        <is>
          <t>/atlanta-matchmaker</t>
        </is>
      </c>
      <c r="H40" s="7" t="n">
        <v>14.8</v>
      </c>
      <c r="I40" s="10" t="inlineStr">
        <is>
          <t>Watch</t>
        </is>
      </c>
      <c r="J40" s="7" t="inlineStr">
        <is>
          <t>/atlanta-matchmaker</t>
        </is>
      </c>
      <c r="K40" s="7" t="inlineStr">
        <is>
          <t>—</t>
        </is>
      </c>
      <c r="L40" s="7" t="inlineStr"/>
    </row>
    <row r="41">
      <c r="A41" s="7" t="n">
        <v>40</v>
      </c>
      <c r="B41" s="7" t="inlineStr">
        <is>
          <t>2 · Long tail (near page one)</t>
        </is>
      </c>
      <c r="C41" s="7" t="inlineStr">
        <is>
          <t>Chicago (cost)</t>
        </is>
      </c>
      <c r="D41" s="7" t="inlineStr">
        <is>
          <t>What a Matchmaker Costs in Chicago</t>
        </is>
      </c>
      <c r="E41" s="7" t="inlineStr">
        <is>
          <t>chicago matchmaker cost</t>
        </is>
      </c>
      <c r="F41" s="8" t="n">
        <v>45</v>
      </c>
      <c r="G41" s="7" t="inlineStr">
        <is>
          <t>/chicago-matchmaker</t>
        </is>
      </c>
      <c r="H41" s="7" t="n">
        <v>11</v>
      </c>
      <c r="I41" s="10" t="inlineStr">
        <is>
          <t>Watch</t>
        </is>
      </c>
      <c r="J41" s="7" t="inlineStr">
        <is>
          <t>/chicago-matchmaker</t>
        </is>
      </c>
      <c r="K41" s="7" t="inlineStr">
        <is>
          <t>—</t>
        </is>
      </c>
      <c r="L41" s="7" t="inlineStr">
        <is>
          <t>Q2 #53 targeted this inside a 'chicago matchmaker' article. Here it gets its own target.</t>
        </is>
      </c>
    </row>
    <row r="42">
      <c r="A42" s="7" t="n">
        <v>41</v>
      </c>
      <c r="B42" s="7" t="inlineStr">
        <is>
          <t>2 · Long tail (near page one)</t>
        </is>
      </c>
      <c r="C42" s="7" t="inlineStr">
        <is>
          <t>Orange County</t>
        </is>
      </c>
      <c r="D42" s="7" t="inlineStr">
        <is>
          <t>Orange County Matchmaker: Introductions Without Driving to LA</t>
        </is>
      </c>
      <c r="E42" s="7" t="inlineStr">
        <is>
          <t>orange county matchmaker</t>
        </is>
      </c>
      <c r="F42" s="8" t="n">
        <v>725</v>
      </c>
      <c r="G42" s="7" t="inlineStr">
        <is>
          <t>/california-matchmaker</t>
        </is>
      </c>
      <c r="H42" s="7" t="n">
        <v>16.9</v>
      </c>
      <c r="I42" s="9" t="inlineStr">
        <is>
          <t>Clear</t>
        </is>
      </c>
      <c r="J42" s="7" t="inlineStr">
        <is>
          <t>/california-matchmaker; Newport Beach post 18662</t>
        </is>
      </c>
      <c r="K42" s="7" t="inlineStr">
        <is>
          <t>20, 21, 156 (merged)</t>
        </is>
      </c>
      <c r="L42" s="7" t="inlineStr">
        <is>
          <t>One article covers Orange County and Irvine. Link to the live Newport Beach post.</t>
        </is>
      </c>
    </row>
    <row r="43">
      <c r="A43" s="7" t="n">
        <v>42</v>
      </c>
      <c r="B43" s="7" t="inlineStr">
        <is>
          <t>2 · Long tail (near page one)</t>
        </is>
      </c>
      <c r="C43" s="7" t="inlineStr">
        <is>
          <t>Santa Monica</t>
        </is>
      </c>
      <c r="D43" s="7" t="inlineStr">
        <is>
          <t>Santa Monica Matchmaker: A Westside Search</t>
        </is>
      </c>
      <c r="E43" s="7" t="inlineStr">
        <is>
          <t>matchmaker santa monica</t>
        </is>
      </c>
      <c r="F43" s="8" t="n">
        <v>167</v>
      </c>
      <c r="G43" s="7" t="inlineStr">
        <is>
          <t>/los-angeles-matchmaker</t>
        </is>
      </c>
      <c r="H43" s="7" t="n">
        <v>10.9</v>
      </c>
      <c r="I43" s="10" t="inlineStr">
        <is>
          <t>Watch</t>
        </is>
      </c>
      <c r="J43" s="7" t="inlineStr">
        <is>
          <t>/los-angeles-matchmaker</t>
        </is>
      </c>
      <c r="K43" s="7" t="inlineStr">
        <is>
          <t>102</t>
        </is>
      </c>
      <c r="L43" s="7" t="inlineStr"/>
    </row>
    <row r="44">
      <c r="A44" s="7" t="n">
        <v>43</v>
      </c>
      <c r="B44" s="7" t="inlineStr">
        <is>
          <t>2 · Long tail (near page one)</t>
        </is>
      </c>
      <c r="C44" s="7" t="inlineStr">
        <is>
          <t>Thousand Oaks</t>
        </is>
      </c>
      <c r="D44" s="7" t="inlineStr">
        <is>
          <t>Thousand Oaks Matchmaker: Conejo Valley Introductions</t>
        </is>
      </c>
      <c r="E44" s="7" t="inlineStr">
        <is>
          <t>thousand oaks matchmakers</t>
        </is>
      </c>
      <c r="F44" s="8" t="n">
        <v>100</v>
      </c>
      <c r="G44" s="7" t="inlineStr">
        <is>
          <t>/california-matchmaker</t>
        </is>
      </c>
      <c r="H44" s="7" t="n">
        <v>12.3</v>
      </c>
      <c r="I44" s="10" t="inlineStr">
        <is>
          <t>Watch</t>
        </is>
      </c>
      <c r="J44" s="7" t="inlineStr">
        <is>
          <t>/california-matchmaker</t>
        </is>
      </c>
      <c r="K44" s="7" t="inlineStr">
        <is>
          <t>—</t>
        </is>
      </c>
      <c r="L44" s="7" t="inlineStr"/>
    </row>
    <row r="45">
      <c r="A45" s="7" t="n">
        <v>44</v>
      </c>
      <c r="B45" s="7" t="inlineStr">
        <is>
          <t>2 · Long tail (near page one)</t>
        </is>
      </c>
      <c r="C45" s="7" t="inlineStr">
        <is>
          <t>Santa Cruz</t>
        </is>
      </c>
      <c r="D45" s="7" t="inlineStr">
        <is>
          <t>Santa Cruz Matchmaker: Dating Over the Hill From Silicon Valley</t>
        </is>
      </c>
      <c r="E45" s="7" t="inlineStr">
        <is>
          <t>santa cruz matchmakers</t>
        </is>
      </c>
      <c r="F45" s="8" t="n">
        <v>101</v>
      </c>
      <c r="G45" s="7" t="inlineStr">
        <is>
          <t>/california-matchmaker</t>
        </is>
      </c>
      <c r="H45" s="7" t="n">
        <v>12.8</v>
      </c>
      <c r="I45" s="10" t="inlineStr">
        <is>
          <t>Watch</t>
        </is>
      </c>
      <c r="J45" s="7" t="inlineStr">
        <is>
          <t>/california-matchmaker</t>
        </is>
      </c>
      <c r="K45" s="7" t="inlineStr">
        <is>
          <t>—</t>
        </is>
      </c>
      <c r="L45" s="7" t="inlineStr"/>
    </row>
    <row r="46">
      <c r="A46" s="7" t="n">
        <v>45</v>
      </c>
      <c r="B46" s="7" t="inlineStr">
        <is>
          <t>2 · Long tail (near page one)</t>
        </is>
      </c>
      <c r="C46" s="7" t="inlineStr">
        <is>
          <t>Long Island</t>
        </is>
      </c>
      <c r="D46" s="7" t="inlineStr">
        <is>
          <t>Long Island Matchmaker: Nassau and Suffolk Introductions</t>
        </is>
      </c>
      <c r="E46" s="7" t="inlineStr">
        <is>
          <t>long island matchmakers</t>
        </is>
      </c>
      <c r="F46" s="8" t="n">
        <v>125</v>
      </c>
      <c r="G46" s="7" t="inlineStr">
        <is>
          <t>/new-york-matchmaker</t>
        </is>
      </c>
      <c r="H46" s="7" t="n">
        <v>15.6</v>
      </c>
      <c r="I46" s="9" t="inlineStr">
        <is>
          <t>Clear</t>
        </is>
      </c>
      <c r="J46" s="7" t="inlineStr">
        <is>
          <t>/new-york-matchmaker</t>
        </is>
      </c>
      <c r="K46" s="7" t="inlineStr">
        <is>
          <t>152</t>
        </is>
      </c>
      <c r="L46" s="7" t="inlineStr"/>
    </row>
    <row r="47">
      <c r="A47" s="7" t="n">
        <v>46</v>
      </c>
      <c r="B47" s="7" t="inlineStr">
        <is>
          <t>2 · Long tail (near page one)</t>
        </is>
      </c>
      <c r="C47" s="7" t="inlineStr">
        <is>
          <t>Manhattan (executive)</t>
        </is>
      </c>
      <c r="D47" s="7" t="inlineStr">
        <is>
          <t>Executive Matchmaking in Manhattan</t>
        </is>
      </c>
      <c r="E47" s="7" t="inlineStr">
        <is>
          <t>executive matchmaking manhattan</t>
        </is>
      </c>
      <c r="F47" s="8" t="n">
        <v>288</v>
      </c>
      <c r="G47" s="7" t="inlineStr">
        <is>
          <t>/new-york-matchmaker</t>
        </is>
      </c>
      <c r="H47" s="7" t="n">
        <v>16.2</v>
      </c>
      <c r="I47" s="10" t="inlineStr">
        <is>
          <t>Watch</t>
        </is>
      </c>
      <c r="J47" s="7" t="inlineStr">
        <is>
          <t>/new-york-matchmaker</t>
        </is>
      </c>
      <c r="K47" s="7" t="inlineStr">
        <is>
          <t>3, 8 (merged)</t>
        </is>
      </c>
      <c r="L47" s="7" t="inlineStr">
        <is>
          <t>Targets 'Manhattan', not 'New York'. The NY page keeps 'new york matchmaker'. Replaces eight Q2 articles that all targeted 'new york matchmaker'.</t>
        </is>
      </c>
    </row>
    <row r="48">
      <c r="A48" s="7" t="n">
        <v>47</v>
      </c>
      <c r="B48" s="7" t="inlineStr">
        <is>
          <t>2 · Long tail (near page one)</t>
        </is>
      </c>
      <c r="C48" s="7" t="inlineStr">
        <is>
          <t>Bergen County</t>
        </is>
      </c>
      <c r="D48" s="7" t="inlineStr">
        <is>
          <t>Bergen County Matchmaker: North Jersey Introductions</t>
        </is>
      </c>
      <c r="E48" s="7" t="inlineStr">
        <is>
          <t>bergen county matchmakers</t>
        </is>
      </c>
      <c r="F48" s="8" t="n">
        <v>79</v>
      </c>
      <c r="G48" s="7" t="inlineStr">
        <is>
          <t>/new-jersey-matchmaker</t>
        </is>
      </c>
      <c r="H48" s="7" t="n">
        <v>15.8</v>
      </c>
      <c r="I48" s="9" t="inlineStr">
        <is>
          <t>Clear</t>
        </is>
      </c>
      <c r="J48" s="7" t="inlineStr">
        <is>
          <t>/new-jersey-matchmaker</t>
        </is>
      </c>
      <c r="K48" s="7" t="inlineStr">
        <is>
          <t>157</t>
        </is>
      </c>
      <c r="L48" s="7" t="inlineStr"/>
    </row>
    <row r="49">
      <c r="A49" s="7" t="n">
        <v>48</v>
      </c>
      <c r="B49" s="7" t="inlineStr">
        <is>
          <t>2 · Long tail (near page one)</t>
        </is>
      </c>
      <c r="C49" s="7" t="inlineStr">
        <is>
          <t>Norfolk / Hampton Roads</t>
        </is>
      </c>
      <c r="D49" s="7" t="inlineStr">
        <is>
          <t>Norfolk Matchmaker: Hampton Roads Introductions</t>
        </is>
      </c>
      <c r="E49" s="7" t="inlineStr">
        <is>
          <t>norfolk matchmakers</t>
        </is>
      </c>
      <c r="F49" s="8" t="n">
        <v>297</v>
      </c>
      <c r="G49" s="7" t="inlineStr">
        <is>
          <t>/Virginia-Matchmaker</t>
        </is>
      </c>
      <c r="H49" s="7" t="n">
        <v>12.7</v>
      </c>
      <c r="I49" s="10" t="inlineStr">
        <is>
          <t>Watch</t>
        </is>
      </c>
      <c r="J49" s="7" t="inlineStr">
        <is>
          <t>/Virginia-Matchmaker</t>
        </is>
      </c>
      <c r="K49" s="7" t="inlineStr">
        <is>
          <t>76, 138 (merged)</t>
        </is>
      </c>
      <c r="L49" s="7" t="inlineStr"/>
    </row>
    <row r="50">
      <c r="A50" s="7" t="n">
        <v>49</v>
      </c>
      <c r="B50" s="7" t="inlineStr">
        <is>
          <t>2 · Long tail (near page one)</t>
        </is>
      </c>
      <c r="C50" s="7" t="inlineStr">
        <is>
          <t>Pittsburgh</t>
        </is>
      </c>
      <c r="D50" s="7" t="inlineStr">
        <is>
          <t>Pittsburgh Matchmaker: How a Search Works Here</t>
        </is>
      </c>
      <c r="E50" s="7" t="inlineStr">
        <is>
          <t>pittsburgh matchmakers</t>
        </is>
      </c>
      <c r="F50" s="8" t="n">
        <v>224</v>
      </c>
      <c r="G50" s="7" t="inlineStr">
        <is>
          <t>/pennsylvania-matchmaker</t>
        </is>
      </c>
      <c r="H50" s="7" t="n">
        <v>16.1</v>
      </c>
      <c r="I50" s="9" t="inlineStr">
        <is>
          <t>Clear</t>
        </is>
      </c>
      <c r="J50" s="7" t="inlineStr">
        <is>
          <t>/pennsylvania-matchmaker</t>
        </is>
      </c>
      <c r="K50" s="7" t="inlineStr">
        <is>
          <t>151</t>
        </is>
      </c>
      <c r="L50" s="7" t="inlineStr"/>
    </row>
    <row r="51">
      <c r="A51" s="7" t="n">
        <v>50</v>
      </c>
      <c r="B51" s="7" t="inlineStr">
        <is>
          <t>2 · Long tail (near page one)</t>
        </is>
      </c>
      <c r="C51" s="7" t="inlineStr">
        <is>
          <t>Alexandria</t>
        </is>
      </c>
      <c r="D51" s="7" t="inlineStr">
        <is>
          <t>Alexandria Matchmaker: Old Town and the DC Commute</t>
        </is>
      </c>
      <c r="E51" s="7" t="inlineStr">
        <is>
          <t>alexandria matchmakers</t>
        </is>
      </c>
      <c r="F51" s="8" t="n">
        <v>101</v>
      </c>
      <c r="G51" s="7" t="inlineStr">
        <is>
          <t>/washington-dc-matchmaker</t>
        </is>
      </c>
      <c r="H51" s="7" t="n">
        <v>14.4</v>
      </c>
      <c r="I51" s="10" t="inlineStr">
        <is>
          <t>Watch</t>
        </is>
      </c>
      <c r="J51" s="7" t="inlineStr">
        <is>
          <t>/washington-dc-matchmaker; /Virginia-Matchmaker</t>
        </is>
      </c>
      <c r="K51" s="7" t="inlineStr">
        <is>
          <t>—</t>
        </is>
      </c>
      <c r="L51" s="7" t="inlineStr"/>
    </row>
    <row r="52">
      <c r="A52" s="7" t="n">
        <v>51</v>
      </c>
      <c r="B52" s="7" t="inlineStr">
        <is>
          <t>2 · Long tail (near page one)</t>
        </is>
      </c>
      <c r="C52" s="7" t="inlineStr">
        <is>
          <t>West Virginia</t>
        </is>
      </c>
      <c r="D52" s="7" t="inlineStr">
        <is>
          <t>West Virginia Matchmaker: A Wider Search for a Small State</t>
        </is>
      </c>
      <c r="E52" s="7" t="inlineStr">
        <is>
          <t>west virginia matchmaker</t>
        </is>
      </c>
      <c r="F52" s="8" t="n">
        <v>202</v>
      </c>
      <c r="G52" s="7" t="inlineStr">
        <is>
          <t>/Virginia-Matchmaker</t>
        </is>
      </c>
      <c r="H52" s="7" t="n">
        <v>14.4</v>
      </c>
      <c r="I52" s="10" t="inlineStr">
        <is>
          <t>Watch</t>
        </is>
      </c>
      <c r="J52" s="7" t="inlineStr">
        <is>
          <t>/Virginia-Matchmaker</t>
        </is>
      </c>
      <c r="K52" s="7" t="inlineStr">
        <is>
          <t>150</t>
        </is>
      </c>
      <c r="L52" s="7" t="inlineStr">
        <is>
          <t>The Virginia page is ranking for West Virginia searches by accident.</t>
        </is>
      </c>
    </row>
    <row r="53">
      <c r="A53" s="7" t="n">
        <v>52</v>
      </c>
      <c r="B53" s="7" t="inlineStr">
        <is>
          <t>2 · Long tail (near page one)</t>
        </is>
      </c>
      <c r="C53" s="7" t="inlineStr">
        <is>
          <t>Fort Worth</t>
        </is>
      </c>
      <c r="D53" s="7" t="inlineStr">
        <is>
          <t>Fort Worth Matchmaker: Not Just a Dallas Suburb</t>
        </is>
      </c>
      <c r="E53" s="7" t="inlineStr">
        <is>
          <t>fort worth matchmakers</t>
        </is>
      </c>
      <c r="F53" s="8" t="n">
        <v>77</v>
      </c>
      <c r="G53" s="7" t="inlineStr">
        <is>
          <t>/dallas-matchmaker</t>
        </is>
      </c>
      <c r="H53" s="7" t="n">
        <v>20.7</v>
      </c>
      <c r="I53" s="9" t="inlineStr">
        <is>
          <t>Clear</t>
        </is>
      </c>
      <c r="J53" s="7" t="inlineStr">
        <is>
          <t>/dallas-matchmaker; /Texas-Matchmaker</t>
        </is>
      </c>
      <c r="K53" s="7" t="inlineStr">
        <is>
          <t>—</t>
        </is>
      </c>
      <c r="L53" s="7" t="inlineStr"/>
    </row>
    <row r="54">
      <c r="A54" s="7" t="n">
        <v>53</v>
      </c>
      <c r="B54" s="7" t="inlineStr">
        <is>
          <t>2 · Long tail (near page one)</t>
        </is>
      </c>
      <c r="C54" s="7" t="inlineStr">
        <is>
          <t>Raleigh / Cary</t>
        </is>
      </c>
      <c r="D54" s="7" t="inlineStr">
        <is>
          <t>Raleigh and Cary Matchmaker for Research Triangle Professionals</t>
        </is>
      </c>
      <c r="E54" s="7" t="inlineStr">
        <is>
          <t>raleigh matchmakers</t>
        </is>
      </c>
      <c r="F54" s="8" t="n">
        <v>390</v>
      </c>
      <c r="G54" s="7" t="inlineStr">
        <is>
          <t>/north-carolina-matchmaker</t>
        </is>
      </c>
      <c r="H54" s="7" t="n">
        <v>13.6</v>
      </c>
      <c r="I54" s="10" t="inlineStr">
        <is>
          <t>Watch</t>
        </is>
      </c>
      <c r="J54" s="7" t="inlineStr">
        <is>
          <t>/north-carolina-matchmaker</t>
        </is>
      </c>
      <c r="K54" s="7" t="inlineStr">
        <is>
          <t>77, 140 (merged)</t>
        </is>
      </c>
      <c r="L54" s="7" t="inlineStr">
        <is>
          <t>One article for Raleigh and Cary.</t>
        </is>
      </c>
    </row>
    <row r="55">
      <c r="A55" s="7" t="n">
        <v>54</v>
      </c>
      <c r="B55" s="7" t="inlineStr">
        <is>
          <t>2 · Long tail (near page one)</t>
        </is>
      </c>
      <c r="C55" s="7" t="inlineStr">
        <is>
          <t>Buckhead</t>
        </is>
      </c>
      <c r="D55" s="7" t="inlineStr">
        <is>
          <t>Buckhead Matchmaker: Introductions Inside Atlanta's Smallest Big Neighborhood</t>
        </is>
      </c>
      <c r="E55" s="7" t="inlineStr">
        <is>
          <t>buckhead matchmaker</t>
        </is>
      </c>
      <c r="F55" s="8" t="n">
        <v>149</v>
      </c>
      <c r="G55" s="7" t="inlineStr">
        <is>
          <t>/atlanta-matchmaker</t>
        </is>
      </c>
      <c r="H55" s="7" t="n">
        <v>11.5</v>
      </c>
      <c r="I55" s="10" t="inlineStr">
        <is>
          <t>Watch</t>
        </is>
      </c>
      <c r="J55" s="7" t="inlineStr">
        <is>
          <t>/atlanta-matchmaker</t>
        </is>
      </c>
      <c r="K55" s="7" t="inlineStr">
        <is>
          <t>104</t>
        </is>
      </c>
      <c r="L55" s="7" t="inlineStr"/>
    </row>
    <row r="56">
      <c r="A56" s="7" t="n">
        <v>55</v>
      </c>
      <c r="B56" s="7" t="inlineStr">
        <is>
          <t>2 · Long tail (near page one)</t>
        </is>
      </c>
      <c r="C56" s="7" t="inlineStr">
        <is>
          <t>Boulder</t>
        </is>
      </c>
      <c r="D56" s="7" t="inlineStr">
        <is>
          <t>Boulder Matchmaker for Founders and Researchers</t>
        </is>
      </c>
      <c r="E56" s="7" t="inlineStr">
        <is>
          <t>boulder matchmakers</t>
        </is>
      </c>
      <c r="F56" s="8" t="n">
        <v>307</v>
      </c>
      <c r="G56" s="7" t="inlineStr">
        <is>
          <t>/colorado-matchmaker</t>
        </is>
      </c>
      <c r="H56" s="7" t="n">
        <v>11.2</v>
      </c>
      <c r="I56" s="10" t="inlineStr">
        <is>
          <t>Watch</t>
        </is>
      </c>
      <c r="J56" s="7" t="inlineStr">
        <is>
          <t>/colorado-matchmaker; /denver-matchmaker</t>
        </is>
      </c>
      <c r="K56" s="7" t="inlineStr">
        <is>
          <t>105</t>
        </is>
      </c>
      <c r="L56" s="7" t="inlineStr"/>
    </row>
    <row r="57">
      <c r="A57" s="7" t="n">
        <v>56</v>
      </c>
      <c r="B57" s="7" t="inlineStr">
        <is>
          <t>2 · Long tail (near page one)</t>
        </is>
      </c>
      <c r="C57" s="7" t="inlineStr">
        <is>
          <t>Bellevue</t>
        </is>
      </c>
      <c r="D57" s="7" t="inlineStr">
        <is>
          <t>Bellevue Matchmaker: The Eastside Search</t>
        </is>
      </c>
      <c r="E57" s="7" t="inlineStr">
        <is>
          <t>bellevue matchmaker</t>
        </is>
      </c>
      <c r="F57" s="8" t="n">
        <v>197</v>
      </c>
      <c r="G57" s="7" t="inlineStr">
        <is>
          <t>/washington-matchmaker</t>
        </is>
      </c>
      <c r="H57" s="7" t="n">
        <v>12.7</v>
      </c>
      <c r="I57" s="10" t="inlineStr">
        <is>
          <t>Watch</t>
        </is>
      </c>
      <c r="J57" s="7" t="inlineStr">
        <is>
          <t>/washington-matchmaker; /seattle-matchmaker</t>
        </is>
      </c>
      <c r="K57" s="7" t="inlineStr">
        <is>
          <t>100</t>
        </is>
      </c>
      <c r="L57" s="7" t="inlineStr"/>
    </row>
    <row r="58">
      <c r="A58" s="7" t="n">
        <v>57</v>
      </c>
      <c r="B58" s="7" t="inlineStr">
        <is>
          <t>2 · Long tail (near page one)</t>
        </is>
      </c>
      <c r="C58" s="7" t="inlineStr">
        <is>
          <t>Reno</t>
        </is>
      </c>
      <c r="D58" s="7" t="inlineStr">
        <is>
          <t>Reno Matchmaker: Introductions Beyond the Casino Corridor</t>
        </is>
      </c>
      <c r="E58" s="7" t="inlineStr">
        <is>
          <t>reno matchmakers</t>
        </is>
      </c>
      <c r="F58" s="8" t="n">
        <v>166</v>
      </c>
      <c r="G58" s="7" t="inlineStr">
        <is>
          <t>/nevada-matchmaker</t>
        </is>
      </c>
      <c r="H58" s="7" t="n">
        <v>15.7</v>
      </c>
      <c r="I58" s="9" t="inlineStr">
        <is>
          <t>Clear</t>
        </is>
      </c>
      <c r="J58" s="7" t="inlineStr">
        <is>
          <t>/nevada-matchmaker</t>
        </is>
      </c>
      <c r="K58" s="7" t="inlineStr">
        <is>
          <t>78</t>
        </is>
      </c>
      <c r="L58" s="7" t="inlineStr"/>
    </row>
    <row r="59">
      <c r="A59" s="7" t="n">
        <v>58</v>
      </c>
      <c r="B59" s="7" t="inlineStr">
        <is>
          <t>2 · Long tail (near page one)</t>
        </is>
      </c>
      <c r="C59" s="7" t="inlineStr">
        <is>
          <t>Tulsa</t>
        </is>
      </c>
      <c r="D59" s="7" t="inlineStr">
        <is>
          <t>Tulsa Matchmaker: A Search That Reaches Past Your Circle</t>
        </is>
      </c>
      <c r="E59" s="7" t="inlineStr">
        <is>
          <t>tulsa matchmaker</t>
        </is>
      </c>
      <c r="F59" s="8" t="n">
        <v>50</v>
      </c>
      <c r="G59" s="7" t="inlineStr">
        <is>
          <t>/oklahoma-city-matchmaker</t>
        </is>
      </c>
      <c r="H59" s="7" t="n">
        <v>18</v>
      </c>
      <c r="I59" s="9" t="inlineStr">
        <is>
          <t>Clear</t>
        </is>
      </c>
      <c r="J59" s="7" t="inlineStr">
        <is>
          <t>/oklahoma-city-matchmaker</t>
        </is>
      </c>
      <c r="K59" s="7" t="inlineStr">
        <is>
          <t>79</t>
        </is>
      </c>
      <c r="L59" s="7" t="inlineStr"/>
    </row>
    <row r="60">
      <c r="A60" s="7" t="n">
        <v>59</v>
      </c>
      <c r="B60" s="7" t="inlineStr">
        <is>
          <t>2 · Long tail (near page one)</t>
        </is>
      </c>
      <c r="C60" s="7" t="inlineStr">
        <is>
          <t>Mississippi</t>
        </is>
      </c>
      <c r="D60" s="7" t="inlineStr">
        <is>
          <t>Mississippi Matchmaker: Jackson, the Coast and Oxford</t>
        </is>
      </c>
      <c r="E60" s="7" t="inlineStr">
        <is>
          <t>mississippi matchmaker</t>
        </is>
      </c>
      <c r="F60" s="8" t="n">
        <v>168</v>
      </c>
      <c r="G60" s="7" t="inlineStr">
        <is>
          <t>/nationwide-matchmaker</t>
        </is>
      </c>
      <c r="H60" s="7" t="n">
        <v>18.1</v>
      </c>
      <c r="I60" s="9" t="inlineStr">
        <is>
          <t>Clear</t>
        </is>
      </c>
      <c r="J60" s="7" t="inlineStr">
        <is>
          <t>/nationwide-matchmaker</t>
        </is>
      </c>
      <c r="K60" s="7" t="inlineStr">
        <is>
          <t>—</t>
        </is>
      </c>
      <c r="L60" s="7" t="inlineStr">
        <is>
          <t>No state page. The nationwide page catches this at ~18.</t>
        </is>
      </c>
    </row>
    <row r="61">
      <c r="A61" s="7" t="n">
        <v>60</v>
      </c>
      <c r="B61" s="7" t="inlineStr">
        <is>
          <t>2 · Long tail (near page one)</t>
        </is>
      </c>
      <c r="C61" s="7" t="inlineStr">
        <is>
          <t>Kansas</t>
        </is>
      </c>
      <c r="D61" s="7" t="inlineStr">
        <is>
          <t>Kansas Matchmaker: Wichita, Lawrence and Beyond Kansas City</t>
        </is>
      </c>
      <c r="E61" s="7" t="inlineStr">
        <is>
          <t>kansas matchmaker</t>
        </is>
      </c>
      <c r="F61" s="8" t="n">
        <v>268</v>
      </c>
      <c r="G61" s="7" t="inlineStr">
        <is>
          <t>/kansas-city-matchmaker</t>
        </is>
      </c>
      <c r="H61" s="7" t="n">
        <v>14.3</v>
      </c>
      <c r="I61" s="10" t="inlineStr">
        <is>
          <t>Watch</t>
        </is>
      </c>
      <c r="J61" s="7" t="inlineStr">
        <is>
          <t>/kansas-city-matchmaker</t>
        </is>
      </c>
      <c r="K61" s="7" t="inlineStr">
        <is>
          <t>—</t>
        </is>
      </c>
      <c r="L61" s="7" t="inlineStr">
        <is>
          <t>Kansas City page catches state searches. Keep this article out of the KC metro.</t>
        </is>
      </c>
    </row>
  </sheetData>
  <autoFilter ref="A1:L61"/>
  <dataValidations count="1">
    <dataValidation sqref="I2:I61" showDropDown="0" showInputMessage="0" showErrorMessage="0" allowBlank="0" type="list">
      <formula1>"Clear,Watch,Split,Owned"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4" customWidth="1" min="1" max="1"/>
    <col width="12" customWidth="1" min="2" max="2"/>
    <col width="46" customWidth="1" min="3" max="3"/>
    <col width="10" customWidth="1" min="4" max="4"/>
    <col width="44" customWidth="1" min="5" max="5"/>
    <col width="80" customWidth="1" min="6" max="6"/>
  </cols>
  <sheetData>
    <row r="1" ht="32" customHeight="1">
      <c r="A1" s="6" t="inlineStr">
        <is>
          <t>Tempting target</t>
        </is>
      </c>
      <c r="B1" s="6" t="inlineStr">
        <is>
          <t>GSC impressions, 90d</t>
        </is>
      </c>
      <c r="C1" s="6" t="inlineStr">
        <is>
          <t>Page holding most impressions</t>
        </is>
      </c>
      <c r="D1" s="6" t="inlineStr">
        <is>
          <t>Its avg position</t>
        </is>
      </c>
      <c r="E1" s="6" t="inlineStr">
        <is>
          <t>Owner</t>
        </is>
      </c>
      <c r="F1" s="6" t="inlineStr">
        <is>
          <t>What to do instead</t>
        </is>
      </c>
    </row>
    <row r="2">
      <c r="A2" s="7" t="inlineStr">
        <is>
          <t>st. petersburg matchmaker(s)</t>
        </is>
      </c>
      <c r="B2" s="8" t="n">
        <v>271</v>
      </c>
      <c r="C2" s="7" t="inlineStr">
        <is>
          <t>/tampa-bay-matchmaker</t>
        </is>
      </c>
      <c r="D2" s="7" t="n">
        <v>8.9</v>
      </c>
      <c r="E2" s="7" t="inlineStr">
        <is>
          <t>Tampa Bay landing page</t>
        </is>
      </c>
      <c r="F2" s="7" t="inlineStr">
        <is>
          <t>Q2 had a St. Pete article. The Tampa Bay page already ranks ~7-10, so add a St. Petersburg section to that page instead.</t>
        </is>
      </c>
    </row>
    <row r="3">
      <c r="A3" s="7" t="inlineStr">
        <is>
          <t>clearwater matchmaker(s)</t>
        </is>
      </c>
      <c r="B3" s="8" t="n">
        <v>114</v>
      </c>
      <c r="C3" s="7" t="inlineStr">
        <is>
          <t>/tampa-bay-matchmaker</t>
        </is>
      </c>
      <c r="D3" s="7" t="n">
        <v>7.8</v>
      </c>
      <c r="E3" s="7" t="inlineStr">
        <is>
          <t>Tampa Bay landing page</t>
        </is>
      </c>
      <c r="F3" s="7" t="inlineStr">
        <is>
          <t>Add a Clearwater section to the Tampa Bay page.</t>
        </is>
      </c>
    </row>
    <row r="4">
      <c r="A4" s="7" t="inlineStr">
        <is>
          <t>cape coral matchmakers</t>
        </is>
      </c>
      <c r="B4" s="8" t="n">
        <v>121</v>
      </c>
      <c r="C4" s="7" t="inlineStr">
        <is>
          <t>/fort-myers-matchmaker</t>
        </is>
      </c>
      <c r="D4" s="7" t="n">
        <v>7.3</v>
      </c>
      <c r="E4" s="7" t="inlineStr">
        <is>
          <t>Fort Myers landing page</t>
        </is>
      </c>
      <c r="F4" s="7" t="inlineStr">
        <is>
          <t>Add a Cape Coral section to the Fort Myers page.</t>
        </is>
      </c>
    </row>
    <row r="5">
      <c r="A5" s="7" t="inlineStr">
        <is>
          <t>cleveland matchmaker(s)</t>
        </is>
      </c>
      <c r="B5" s="8" t="n">
        <v>275</v>
      </c>
      <c r="C5" s="7" t="inlineStr">
        <is>
          <t>/ohio-matchmaker</t>
        </is>
      </c>
      <c r="D5" s="7" t="n">
        <v>9.800000000000001</v>
      </c>
      <c r="E5" s="7" t="inlineStr">
        <is>
          <t>Ohio landing page</t>
        </is>
      </c>
      <c r="F5" s="7" t="inlineStr">
        <is>
          <t>Q2 had two Cleveland articles. The Ohio page ranks ~10. Add a Cleveland section to it, or build a real Cleveland landing page.</t>
        </is>
      </c>
    </row>
    <row r="6">
      <c r="A6" s="7" t="inlineStr">
        <is>
          <t>boston / dc matchmaker cost</t>
        </is>
      </c>
      <c r="B6" s="8" t="n">
        <v>302</v>
      </c>
      <c r="C6" s="7" t="inlineStr">
        <is>
          <t>/boston-matchmaker</t>
        </is>
      </c>
      <c r="D6" s="7" t="n">
        <v>8.800000000000001</v>
      </c>
      <c r="E6" s="7" t="inlineStr">
        <is>
          <t>Boston and DC landing pages (~8-10)</t>
        </is>
      </c>
      <c r="F6" s="7" t="inlineStr">
        <is>
          <t>Already ranking. Add a short pricing section to each landing page.</t>
        </is>
      </c>
    </row>
    <row r="7">
      <c r="A7" s="7" t="inlineStr">
        <is>
          <t>three day rule cost, kelleher cost, selective search cost, matchmaking company cost, maclynn cost</t>
        </is>
      </c>
      <c r="B7" s="8" t="n">
        <v>3272</v>
      </c>
      <c r="C7" s="7" t="inlineStr">
        <is>
          <t>/tv-media/blogs/id/18644/three-day-rule-reviews-alternatives-2026</t>
        </is>
      </c>
      <c r="D7" s="7" t="n">
        <v>10.2</v>
      </c>
      <c r="E7" s="7" t="inlineStr">
        <is>
          <t>Each firm's reviews post (positions ~4-10)</t>
        </is>
      </c>
      <c r="F7" s="7" t="inlineStr">
        <is>
          <t>Already on page one. A separate cost article would compete with them. Refresh the pricing sections instead (see Refreshes).</t>
        </is>
      </c>
    </row>
    <row r="8">
      <c r="A8" s="7" t="inlineStr">
        <is>
          <t>best matchmaker in fort lauderdale</t>
        </is>
      </c>
      <c r="B8" s="8" t="n">
        <v>26</v>
      </c>
      <c r="C8" s="7" t="inlineStr">
        <is>
          <t>/fort-lauderdale-matchmaker</t>
        </is>
      </c>
      <c r="D8" s="7" t="n">
        <v>2.7</v>
      </c>
      <c r="E8" s="7" t="inlineStr">
        <is>
          <t>Fort Lauderdale landing page</t>
        </is>
      </c>
      <c r="F8" s="7" t="inlineStr">
        <is>
          <t>Leave it. A listicle would compete with the page that already ranks.</t>
        </is>
      </c>
    </row>
    <row r="9">
      <c r="A9" s="7" t="inlineStr">
        <is>
          <t>best matchmaker in orlando</t>
        </is>
      </c>
      <c r="B9" s="8" t="n">
        <v>19</v>
      </c>
      <c r="C9" s="7" t="inlineStr">
        <is>
          <t>/orlando-matchmaker</t>
        </is>
      </c>
      <c r="D9" s="7" t="n">
        <v>5.9</v>
      </c>
      <c r="E9" s="7" t="inlineStr">
        <is>
          <t>Orlando landing page</t>
        </is>
      </c>
      <c r="F9" s="7" t="inlineStr">
        <is>
          <t>Leave it.</t>
        </is>
      </c>
    </row>
    <row r="10">
      <c r="A10" s="7" t="inlineStr">
        <is>
          <t>best matchmaker in sarasota</t>
        </is>
      </c>
      <c r="B10" s="8" t="n">
        <v>14</v>
      </c>
      <c r="C10" s="7" t="inlineStr">
        <is>
          <t>/sarasota-matchmaker</t>
        </is>
      </c>
      <c r="D10" s="7" t="n">
        <v>7.7</v>
      </c>
      <c r="E10" s="7" t="inlineStr">
        <is>
          <t>Sarasota landing page</t>
        </is>
      </c>
      <c r="F10" s="7" t="inlineStr">
        <is>
          <t>Leave it.</t>
        </is>
      </c>
    </row>
    <row r="11">
      <c r="A11" s="7" t="inlineStr">
        <is>
          <t>best matchmaker in tampa</t>
        </is>
      </c>
      <c r="B11" s="8" t="n">
        <v>4</v>
      </c>
      <c r="C11" s="7" t="inlineStr">
        <is>
          <t>/tampa-bay-matchmaker</t>
        </is>
      </c>
      <c r="D11" s="7" t="n">
        <v>10.7</v>
      </c>
      <c r="E11" s="7" t="inlineStr">
        <is>
          <t>Tampa Bay landing page</t>
        </is>
      </c>
      <c r="F11" s="7" t="inlineStr">
        <is>
          <t>Leave it.</t>
        </is>
      </c>
    </row>
    <row r="12">
      <c r="A12" s="7" t="inlineStr">
        <is>
          <t>best matchmaker in florida</t>
        </is>
      </c>
      <c r="B12" s="8" t="n">
        <v>9</v>
      </c>
      <c r="C12" s="7" t="inlineStr">
        <is>
          <t>/florida-matchmaker</t>
        </is>
      </c>
      <c r="D12" s="7" t="n">
        <v>5.8</v>
      </c>
      <c r="E12" s="7" t="inlineStr">
        <is>
          <t>Florida landing page</t>
        </is>
      </c>
      <c r="F12" s="7" t="inlineStr">
        <is>
          <t>Leave it.</t>
        </is>
      </c>
    </row>
    <row r="13">
      <c r="A13" s="7" t="inlineStr">
        <is>
          <t>best matchmaker miami</t>
        </is>
      </c>
      <c r="B13" s="8" t="n">
        <v>54</v>
      </c>
      <c r="C13" s="7" t="inlineStr">
        <is>
          <t>/tv-media/blogs/id/18640/best-matchmakers-in-miami-2026</t>
        </is>
      </c>
      <c r="D13" s="7" t="n">
        <v>3.1</v>
      </c>
      <c r="E13" s="7" t="inlineStr">
        <is>
          <t>Best Matchmakers in Miami (18640)</t>
        </is>
      </c>
      <c r="F13" s="7" t="inlineStr">
        <is>
          <t>Refresh 18640 instead of writing a new one.</t>
        </is>
      </c>
    </row>
    <row r="14">
      <c r="A14" s="7" t="inlineStr">
        <is>
          <t>best matchmaker in jacksonville</t>
        </is>
      </c>
      <c r="B14" s="8" t="n">
        <v>30</v>
      </c>
      <c r="C14" s="7" t="inlineStr">
        <is>
          <t>/tv-media/blogs/id/18611/jacksonville-dating-for-professionals-a-practical-guide-to-finding-love-on-the-first-coast</t>
        </is>
      </c>
      <c r="D14" s="7" t="n">
        <v>10.1</v>
      </c>
      <c r="E14" s="7" t="inlineStr">
        <is>
          <t>Jacksonville dating post (18611)</t>
        </is>
      </c>
      <c r="F14" s="7" t="inlineStr">
        <is>
          <t>Leave it.</t>
        </is>
      </c>
    </row>
    <row r="15">
      <c r="A15" s="7" t="inlineStr">
        <is>
          <t>[city] matchmaker, matchmaking, matchmakers (any city with a landing page)</t>
        </is>
      </c>
      <c r="B15" s="8" t="n">
        <v>12079</v>
      </c>
      <c r="C15" s="7" t="inlineStr">
        <is>
          <t>/new-york-matchmaker</t>
        </is>
      </c>
      <c r="D15" s="7" t="n">
        <v>14</v>
      </c>
      <c r="E15" s="7" t="inlineStr">
        <is>
          <t>That city's landing page</t>
        </is>
      </c>
      <c r="F15" s="7" t="inlineStr">
        <is>
          <t>This term belongs to the landing page. Improve the landing page; don't add articles that target the same term. Most Q2 rows did this.</t>
        </is>
      </c>
    </row>
    <row r="16">
      <c r="A16" s="7" t="inlineStr">
        <is>
          <t>austin matchmakers cost</t>
        </is>
      </c>
      <c r="B16" s="8" t="n">
        <v>292</v>
      </c>
      <c r="C16" s="7" t="inlineStr">
        <is>
          <t>/austin-matchmaker</t>
        </is>
      </c>
      <c r="D16" s="7" t="n">
        <v>11.8</v>
      </c>
      <c r="E16" s="7" t="inlineStr">
        <is>
          <t>What a Matchmaker Costs in Austin (18718)</t>
        </is>
      </c>
      <c r="F16" s="7" t="inlineStr">
        <is>
          <t>Already written.</t>
        </is>
      </c>
    </row>
    <row r="17">
      <c r="A17" s="7" t="inlineStr">
        <is>
          <t>charlotte matchmaker cost</t>
        </is>
      </c>
      <c r="B17" s="8" t="n">
        <v>329</v>
      </c>
      <c r="C17" s="7" t="inlineStr">
        <is>
          <t>/charlotte-matchmaker</t>
        </is>
      </c>
      <c r="D17" s="7" t="n">
        <v>17.2</v>
      </c>
      <c r="E17" s="7" t="inlineStr">
        <is>
          <t>What a Matchmaker Costs in Charlotte (18717)</t>
        </is>
      </c>
      <c r="F17" s="7" t="inlineStr">
        <is>
          <t>Already written. The landing page also ranks for it, so point internal links at the post.</t>
        </is>
      </c>
    </row>
    <row r="18">
      <c r="A18" s="7" t="inlineStr">
        <is>
          <t>maryland matchmakers cost</t>
        </is>
      </c>
      <c r="B18" s="8" t="n">
        <v>171</v>
      </c>
      <c r="C18" s="7" t="inlineStr">
        <is>
          <t>/maryland-matchmaker</t>
        </is>
      </c>
      <c r="D18" s="7" t="n">
        <v>4</v>
      </c>
      <c r="E18" s="7" t="inlineStr">
        <is>
          <t>Maryland landing page</t>
        </is>
      </c>
      <c r="F18" s="7" t="inlineStr">
        <is>
          <t>Leave it.</t>
        </is>
      </c>
    </row>
    <row r="19">
      <c r="A19" s="7" t="inlineStr">
        <is>
          <t>best matchmaking services</t>
        </is>
      </c>
      <c r="B19" s="8" t="n">
        <v>1327</v>
      </c>
      <c r="C19" s="7" t="inlineStr">
        <is>
          <t>/</t>
        </is>
      </c>
      <c r="D19" s="7" t="n">
        <v>15.8</v>
      </c>
      <c r="E19" s="7" t="inlineStr">
        <is>
          <t>Homepage (~15-23), plus the US guide (18619)</t>
        </is>
      </c>
      <c r="F19" s="7" t="inlineStr">
        <is>
          <t>Two pages are already competing. Refresh the US guide and anchor internal links to it. No new article.</t>
        </is>
      </c>
    </row>
    <row r="20">
      <c r="A20" s="7" t="inlineStr">
        <is>
          <t>matchmaking agency</t>
        </is>
      </c>
      <c r="B20" s="8" t="n">
        <v>6275</v>
      </c>
      <c r="C20" s="7" t="inlineStr">
        <is>
          <t>/california-matchmaker</t>
        </is>
      </c>
      <c r="D20" s="7" t="n">
        <v>40</v>
      </c>
      <c r="E20" s="7" t="inlineStr">
        <is>
          <t>California landing page (~23)</t>
        </is>
      </c>
      <c r="F20" s="7" t="inlineStr">
        <is>
          <t>Re-optimize the nationwide page. The 'dating agency or matchmaker' post (18701) exists.</t>
        </is>
      </c>
    </row>
    <row r="21">
      <c r="A21" s="7" t="inlineStr">
        <is>
          <t>santa barbara matchmaker</t>
        </is>
      </c>
      <c r="B21" s="8" t="n">
        <v>466</v>
      </c>
      <c r="C21" s="7" t="inlineStr">
        <is>
          <t>/california-matchmaker</t>
        </is>
      </c>
      <c r="D21" s="7" t="n">
        <v>14</v>
      </c>
      <c r="E21" s="7" t="inlineStr">
        <is>
          <t>California page; Santa Barbara post 18705 exists</t>
        </is>
      </c>
      <c r="F21" s="7" t="inlineStr">
        <is>
          <t>Refresh 18705.</t>
        </is>
      </c>
    </row>
    <row r="22">
      <c r="A22" s="7" t="inlineStr">
        <is>
          <t>new braunfels matchmaker</t>
        </is>
      </c>
      <c r="B22" s="8" t="n">
        <v>1036</v>
      </c>
      <c r="C22" s="7" t="inlineStr">
        <is>
          <t>/san-antonio-matchmaker</t>
        </is>
      </c>
      <c r="D22" s="7" t="n">
        <v>13.4</v>
      </c>
      <c r="E22" s="7" t="inlineStr">
        <is>
          <t>San Antonio and Texas pages; New Braunfels post 18730 exists</t>
        </is>
      </c>
      <c r="F22" s="7" t="inlineStr">
        <is>
          <t>Refresh 18730. About 1,000 impressions, mostly at position 30-48.</t>
        </is>
      </c>
    </row>
    <row r="23">
      <c r="A23" s="7" t="inlineStr">
        <is>
          <t>westchester matchmakers</t>
        </is>
      </c>
      <c r="B23" s="8" t="n">
        <v>60</v>
      </c>
      <c r="C23" s="7" t="inlineStr">
        <is>
          <t>/new-york-matchmaker</t>
        </is>
      </c>
      <c r="D23" s="7" t="n">
        <v>10.9</v>
      </c>
      <c r="E23" s="7" t="inlineStr">
        <is>
          <t>New York landing page</t>
        </is>
      </c>
      <c r="F23" s="7" t="inlineStr">
        <is>
          <t>Leave it.</t>
        </is>
      </c>
    </row>
    <row r="24">
      <c r="A24" s="7" t="inlineStr">
        <is>
          <t>best matchmaker in winnetka</t>
        </is>
      </c>
      <c r="B24" s="8" t="n">
        <v>67</v>
      </c>
      <c r="C24" s="7" t="inlineStr">
        <is>
          <t>/chicago-matchmaker</t>
        </is>
      </c>
      <c r="D24" s="7" t="n">
        <v>10.2</v>
      </c>
      <c r="E24" s="7" t="inlineStr">
        <is>
          <t>Chicago landing page</t>
        </is>
      </c>
      <c r="F24" s="7" t="inlineStr">
        <is>
          <t>Leave it.</t>
        </is>
      </c>
    </row>
    <row r="25">
      <c r="A25" s="7" t="inlineStr">
        <is>
          <t>the matchmaking company [city] reviews</t>
        </is>
      </c>
      <c r="B25" s="8" t="n">
        <v>275</v>
      </c>
      <c r="C25" s="7" t="inlineStr">
        <is>
          <t>/tv-media/blogs/id/18646/the-matchmaking-company-reviews-alternatives-2026</t>
        </is>
      </c>
      <c r="D25" s="7" t="n">
        <v>10.1</v>
      </c>
      <c r="E25" s="7" t="inlineStr">
        <is>
          <t>The Matchmaking Company reviews post (18646)</t>
        </is>
      </c>
      <c r="F25" s="7" t="inlineStr">
        <is>
          <t>Add an 'offices' section to 18646. No new article.</t>
        </is>
      </c>
    </row>
    <row r="26">
      <c r="A26" s="7" t="inlineStr">
        <is>
          <t>gay / lesbian matchmaker [city]</t>
        </is>
      </c>
      <c r="B26" s="8" t="n">
        <v>327</v>
      </c>
      <c r="C26" s="7" t="inlineStr">
        <is>
          <t>/dallas-matchmaker</t>
        </is>
      </c>
      <c r="D26" s="7" t="n">
        <v>21.3</v>
      </c>
      <c r="E26" s="7" t="inlineStr">
        <is>
          <t>Dallas, Chicago and Austin landing pages (~20)</t>
        </is>
      </c>
      <c r="F26" s="7" t="inlineStr">
        <is>
          <t>Not planned. The site doesn't mention LGBTQ clients and the old LGBTQ page returns a 404. Ask Steven whether he serves this.</t>
        </is>
      </c>
    </row>
  </sheetData>
  <autoFilter ref="A1:F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52" customWidth="1" min="1" max="1"/>
    <col width="100" customWidth="1" min="2" max="2"/>
  </cols>
  <sheetData>
    <row r="1" ht="32" customHeight="1">
      <c r="A1" s="6" t="inlineStr">
        <is>
          <t>Existing post</t>
        </is>
      </c>
      <c r="B1" s="6" t="inlineStr">
        <is>
          <t>Why / what to change</t>
        </is>
      </c>
    </row>
    <row r="2">
      <c r="A2" s="7" t="inlineStr">
        <is>
          <t>Three Day Rule reviews (18644)</t>
        </is>
      </c>
      <c r="B2" s="7" t="inlineStr">
        <is>
          <t>About 1,600 impressions on cost searches at ~10, the bottom of page one. Expand the pricing section (2026 numbers, what's included, a cost FAQ) so it holds page one. No separate cost article, because it would compete with this post.</t>
        </is>
      </c>
    </row>
    <row r="3">
      <c r="A3" s="7" t="inlineStr">
        <is>
          <t>Kelleher, Selective Search, MacLynn reviews (18621, 18645, 18684)</t>
        </is>
      </c>
      <c r="B3" s="7" t="inlineStr">
        <is>
          <t>Same pricing-section refresh. Cost searches sit at ~8.</t>
        </is>
      </c>
    </row>
    <row r="4">
      <c r="A4" s="7" t="inlineStr">
        <is>
          <t>Tawkify reviews (18572)</t>
        </is>
      </c>
      <c r="B4" s="7" t="inlineStr">
        <is>
          <t>Ranks ~16-24 for 'tawkify', 'tawkify reviews' and 'tawkify pricing'. Full 2026 update.</t>
        </is>
      </c>
    </row>
    <row r="5">
      <c r="A5" s="7" t="inlineStr">
        <is>
          <t>Tampa Bay, Fort Myers, Ohio, Boston and DC landing pages</t>
        </is>
      </c>
      <c r="B5" s="7" t="inlineStr">
        <is>
          <t>Add the sections listed in 'Already owned' (St. Pete, Clearwater, Cape Coral, Cleveland, local pricing). That's landing-page work, not articles.</t>
        </is>
      </c>
    </row>
    <row r="6">
      <c r="A6" s="7" t="inlineStr">
        <is>
          <t>Detroit (18648), Baltimore (18654), Cincinnati (18723)</t>
        </is>
      </c>
      <c r="B6" s="7" t="inlineStr">
        <is>
          <t>Live, but the state pages (Michigan, Maryland, Ohio) still catch these city searches at ~10-16.</t>
        </is>
      </c>
    </row>
    <row r="7">
      <c r="A7" s="7" t="inlineStr">
        <is>
          <t>Personal matchmaker (18595), local matchmaking (18702), meeting professional singles (18707), dating agency (18701), personalization (18712)</t>
        </is>
      </c>
      <c r="B7" s="7" t="inlineStr">
        <is>
          <t>Generic searches where a landing page is catching the traffic at ~12-19 instead of the post written for it. Retitle and point internal links at the post.</t>
        </is>
      </c>
    </row>
    <row r="8">
      <c r="A8" s="7" t="inlineStr">
        <is>
          <t>Best Matchmaking Services in the US (18619)</t>
        </is>
      </c>
      <c r="B8" s="7" t="inlineStr">
        <is>
          <t>Stops the homepage and the guide from both ranking ~15-20 for 'best matchmaking services'.</t>
        </is>
      </c>
    </row>
    <row r="9">
      <c r="A9" s="7" t="inlineStr">
        <is>
          <t>Best Matchmakers in Miami (18640)</t>
        </is>
      </c>
      <c r="B9" s="7" t="inlineStr">
        <is>
          <t>Ranks ~30 for its own page. Update the list and the 2026 details.</t>
        </is>
      </c>
    </row>
    <row r="10">
      <c r="A10" s="7" t="inlineStr">
        <is>
          <t>Santa Barbara (18705) and New Braunfels (18730)</t>
        </is>
      </c>
      <c r="B10" s="7" t="inlineStr">
        <is>
          <t>Live, but the state and San Antonio pages still outrank them for their own city.</t>
        </is>
      </c>
    </row>
    <row r="11">
      <c r="A11" s="7" t="inlineStr">
        <is>
          <t>The Matchmaking Company reviews (18646)</t>
        </is>
      </c>
      <c r="B11" s="7" t="inlineStr">
        <is>
          <t>Add a short section on the offices people search for (Albuquerque, Colts Neck, Cincinnati and others).</t>
        </is>
      </c>
    </row>
    <row r="12">
      <c r="A12" s="7" t="inlineStr">
        <is>
          <t>How to Choose the Right Matchmaker (18589)</t>
        </is>
      </c>
      <c r="B12" s="7" t="inlineStr">
        <is>
          <t>Carried over from Q2 #1. About 4,000 impressions at ~11.</t>
        </is>
      </c>
    </row>
  </sheetData>
  <autoFilter ref="A1:B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4"/>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26" customWidth="1" min="3" max="3"/>
    <col width="30" customWidth="1" min="4" max="4"/>
    <col width="12" customWidth="1" min="5" max="5"/>
    <col width="40" customWidth="1" min="6" max="6"/>
    <col width="10" customWidth="1" min="7" max="7"/>
    <col width="12" customWidth="1" min="8" max="8"/>
    <col width="32" customWidth="1" min="9" max="9"/>
    <col width="14" customWidth="1" min="10" max="10"/>
  </cols>
  <sheetData>
    <row r="1" ht="32" customHeight="1">
      <c r="A1" s="6" t="inlineStr">
        <is>
          <t>Month</t>
        </is>
      </c>
      <c r="B1" s="6" t="inlineStr">
        <is>
          <t>Region</t>
        </is>
      </c>
      <c r="C1" s="6" t="inlineStr">
        <is>
          <t>Market</t>
        </is>
      </c>
      <c r="D1" s="6" t="inlineStr">
        <is>
          <t>Candidate target</t>
        </is>
      </c>
      <c r="E1" s="6" t="inlineStr">
        <is>
          <t>GSC impressions, 90d</t>
        </is>
      </c>
      <c r="F1" s="6" t="inlineStr">
        <is>
          <t>Page holding most impressions</t>
        </is>
      </c>
      <c r="G1" s="6" t="inlineStr">
        <is>
          <t>Its avg position</t>
        </is>
      </c>
      <c r="H1" s="6" t="inlineStr">
        <is>
          <t>Check today</t>
        </is>
      </c>
      <c r="I1" s="6" t="inlineStr">
        <is>
          <t>Links to</t>
        </is>
      </c>
      <c r="J1" s="6" t="inlineStr">
        <is>
          <t>From Q2 plan row</t>
        </is>
      </c>
    </row>
    <row r="2">
      <c r="A2" s="7" t="inlineStr">
        <is>
          <t>2</t>
        </is>
      </c>
      <c r="B2" s="7" t="inlineStr">
        <is>
          <t>Texas</t>
        </is>
      </c>
      <c r="C2" s="7" t="inlineStr">
        <is>
          <t>Plano / Frisco</t>
        </is>
      </c>
      <c r="D2" s="7" t="inlineStr">
        <is>
          <t>plano matchmaker</t>
        </is>
      </c>
      <c r="E2" s="8" t="n">
        <v>0</v>
      </c>
      <c r="F2" s="7" t="inlineStr">
        <is>
          <t>none</t>
        </is>
      </c>
      <c r="G2" s="7" t="inlineStr">
        <is>
          <t>—</t>
        </is>
      </c>
      <c r="H2" s="11" t="inlineStr">
        <is>
          <t>Clear</t>
        </is>
      </c>
      <c r="I2" s="7" t="inlineStr">
        <is>
          <t>/dallas-matchmaker</t>
        </is>
      </c>
      <c r="J2" s="7" t="inlineStr">
        <is>
          <t>—</t>
        </is>
      </c>
    </row>
    <row r="3">
      <c r="A3" s="7" t="inlineStr">
        <is>
          <t>2</t>
        </is>
      </c>
      <c r="B3" s="7" t="inlineStr">
        <is>
          <t>Texas</t>
        </is>
      </c>
      <c r="C3" s="7" t="inlineStr">
        <is>
          <t>Preston Hollow</t>
        </is>
      </c>
      <c r="D3" s="7" t="inlineStr">
        <is>
          <t>preston hollow matchmaker</t>
        </is>
      </c>
      <c r="E3" s="8" t="n">
        <v>0</v>
      </c>
      <c r="F3" s="7" t="inlineStr">
        <is>
          <t>none</t>
        </is>
      </c>
      <c r="G3" s="7" t="inlineStr">
        <is>
          <t>—</t>
        </is>
      </c>
      <c r="H3" s="11" t="inlineStr">
        <is>
          <t>Clear</t>
        </is>
      </c>
      <c r="I3" s="7" t="inlineStr">
        <is>
          <t>/dallas-matchmaker</t>
        </is>
      </c>
      <c r="J3" s="7" t="inlineStr">
        <is>
          <t>179</t>
        </is>
      </c>
    </row>
    <row r="4">
      <c r="A4" s="7" t="inlineStr">
        <is>
          <t>2</t>
        </is>
      </c>
      <c r="B4" s="7" t="inlineStr">
        <is>
          <t>Texas</t>
        </is>
      </c>
      <c r="C4" s="7" t="inlineStr">
        <is>
          <t>The Woodlands</t>
        </is>
      </c>
      <c r="D4" s="7" t="inlineStr">
        <is>
          <t>the woodlands matchmaker</t>
        </is>
      </c>
      <c r="E4" s="8" t="n">
        <v>0</v>
      </c>
      <c r="F4" s="7" t="inlineStr">
        <is>
          <t>none</t>
        </is>
      </c>
      <c r="G4" s="7" t="inlineStr">
        <is>
          <t>—</t>
        </is>
      </c>
      <c r="H4" s="11" t="inlineStr">
        <is>
          <t>Clear</t>
        </is>
      </c>
      <c r="I4" s="7" t="inlineStr">
        <is>
          <t>/houston-matchmaker</t>
        </is>
      </c>
      <c r="J4" s="7" t="inlineStr">
        <is>
          <t>—</t>
        </is>
      </c>
    </row>
    <row r="5">
      <c r="A5" s="7" t="inlineStr">
        <is>
          <t>2</t>
        </is>
      </c>
      <c r="B5" s="7" t="inlineStr">
        <is>
          <t>Texas</t>
        </is>
      </c>
      <c r="C5" s="7" t="inlineStr">
        <is>
          <t>Sugar Land / Katy</t>
        </is>
      </c>
      <c r="D5" s="7" t="inlineStr">
        <is>
          <t>sugar land matchmaker</t>
        </is>
      </c>
      <c r="E5" s="8" t="n">
        <v>0</v>
      </c>
      <c r="F5" s="7" t="inlineStr">
        <is>
          <t>none</t>
        </is>
      </c>
      <c r="G5" s="7" t="inlineStr">
        <is>
          <t>—</t>
        </is>
      </c>
      <c r="H5" s="11" t="inlineStr">
        <is>
          <t>Clear</t>
        </is>
      </c>
      <c r="I5" s="7" t="inlineStr">
        <is>
          <t>/houston-matchmaker</t>
        </is>
      </c>
      <c r="J5" s="7" t="inlineStr">
        <is>
          <t>—</t>
        </is>
      </c>
    </row>
    <row r="6">
      <c r="A6" s="7" t="inlineStr">
        <is>
          <t>2</t>
        </is>
      </c>
      <c r="B6" s="7" t="inlineStr">
        <is>
          <t>Texas</t>
        </is>
      </c>
      <c r="C6" s="7" t="inlineStr">
        <is>
          <t>Westlake / Lake Travis</t>
        </is>
      </c>
      <c r="D6" s="7" t="inlineStr">
        <is>
          <t>westlake matchmaker</t>
        </is>
      </c>
      <c r="E6" s="8" t="n">
        <v>0</v>
      </c>
      <c r="F6" s="7" t="inlineStr">
        <is>
          <t>none</t>
        </is>
      </c>
      <c r="G6" s="7" t="inlineStr">
        <is>
          <t>—</t>
        </is>
      </c>
      <c r="H6" s="11" t="inlineStr">
        <is>
          <t>Clear</t>
        </is>
      </c>
      <c r="I6" s="7" t="inlineStr">
        <is>
          <t>/austin-matchmaker</t>
        </is>
      </c>
      <c r="J6" s="7" t="inlineStr">
        <is>
          <t>—</t>
        </is>
      </c>
    </row>
    <row r="7">
      <c r="A7" s="7" t="inlineStr">
        <is>
          <t>2</t>
        </is>
      </c>
      <c r="B7" s="7" t="inlineStr">
        <is>
          <t>Texas</t>
        </is>
      </c>
      <c r="C7" s="7" t="inlineStr">
        <is>
          <t>Alamo Heights / Boerne</t>
        </is>
      </c>
      <c r="D7" s="7" t="inlineStr">
        <is>
          <t>alamo heights matchmaker</t>
        </is>
      </c>
      <c r="E7" s="8" t="n">
        <v>0</v>
      </c>
      <c r="F7" s="7" t="inlineStr">
        <is>
          <t>none</t>
        </is>
      </c>
      <c r="G7" s="7" t="inlineStr">
        <is>
          <t>—</t>
        </is>
      </c>
      <c r="H7" s="11" t="inlineStr">
        <is>
          <t>Clear</t>
        </is>
      </c>
      <c r="I7" s="7" t="inlineStr">
        <is>
          <t>/san-antonio-matchmaker</t>
        </is>
      </c>
      <c r="J7" s="7" t="inlineStr">
        <is>
          <t>—</t>
        </is>
      </c>
    </row>
    <row r="8">
      <c r="A8" s="7" t="inlineStr">
        <is>
          <t>2</t>
        </is>
      </c>
      <c r="B8" s="7" t="inlineStr">
        <is>
          <t>Texas</t>
        </is>
      </c>
      <c r="C8" s="7" t="inlineStr">
        <is>
          <t>El Paso</t>
        </is>
      </c>
      <c r="D8" s="7" t="inlineStr">
        <is>
          <t>el paso matchmaker</t>
        </is>
      </c>
      <c r="E8" s="8" t="n">
        <v>0</v>
      </c>
      <c r="F8" s="7" t="inlineStr">
        <is>
          <t>none</t>
        </is>
      </c>
      <c r="G8" s="7" t="inlineStr">
        <is>
          <t>—</t>
        </is>
      </c>
      <c r="H8" s="11" t="inlineStr">
        <is>
          <t>Clear</t>
        </is>
      </c>
      <c r="I8" s="7" t="inlineStr">
        <is>
          <t>/Texas-Matchmaker</t>
        </is>
      </c>
      <c r="J8" s="7" t="inlineStr">
        <is>
          <t>—</t>
        </is>
      </c>
    </row>
    <row r="9">
      <c r="A9" s="7" t="inlineStr">
        <is>
          <t>2</t>
        </is>
      </c>
      <c r="B9" s="7" t="inlineStr">
        <is>
          <t>Texas</t>
        </is>
      </c>
      <c r="C9" s="7" t="inlineStr">
        <is>
          <t>Midland / Odessa</t>
        </is>
      </c>
      <c r="D9" s="7" t="inlineStr">
        <is>
          <t>midland matchmaker</t>
        </is>
      </c>
      <c r="E9" s="8" t="n">
        <v>15</v>
      </c>
      <c r="F9" s="7" t="inlineStr">
        <is>
          <t>/Texas-Matchmaker</t>
        </is>
      </c>
      <c r="G9" s="7" t="n">
        <v>18.5</v>
      </c>
      <c r="H9" s="11" t="inlineStr">
        <is>
          <t>Clear</t>
        </is>
      </c>
      <c r="I9" s="7" t="inlineStr">
        <is>
          <t>/Texas-Matchmaker</t>
        </is>
      </c>
      <c r="J9" s="7" t="inlineStr">
        <is>
          <t>—</t>
        </is>
      </c>
    </row>
    <row r="10">
      <c r="A10" s="7" t="inlineStr">
        <is>
          <t>2</t>
        </is>
      </c>
      <c r="B10" s="7" t="inlineStr">
        <is>
          <t>Texas</t>
        </is>
      </c>
      <c r="C10" s="7" t="inlineStr">
        <is>
          <t>Corpus Christi</t>
        </is>
      </c>
      <c r="D10" s="7" t="inlineStr">
        <is>
          <t>corpus christi matchmaker</t>
        </is>
      </c>
      <c r="E10" s="8" t="n">
        <v>0</v>
      </c>
      <c r="F10" s="7" t="inlineStr">
        <is>
          <t>none</t>
        </is>
      </c>
      <c r="G10" s="7" t="inlineStr">
        <is>
          <t>—</t>
        </is>
      </c>
      <c r="H10" s="11" t="inlineStr">
        <is>
          <t>Clear</t>
        </is>
      </c>
      <c r="I10" s="7" t="inlineStr">
        <is>
          <t>/Texas-Matchmaker</t>
        </is>
      </c>
      <c r="J10" s="7" t="inlineStr">
        <is>
          <t>—</t>
        </is>
      </c>
    </row>
    <row r="11">
      <c r="A11" s="7" t="inlineStr">
        <is>
          <t>2</t>
        </is>
      </c>
      <c r="B11" s="7" t="inlineStr">
        <is>
          <t>Texas</t>
        </is>
      </c>
      <c r="C11" s="7" t="inlineStr">
        <is>
          <t>Lubbock</t>
        </is>
      </c>
      <c r="D11" s="7" t="inlineStr">
        <is>
          <t>lubbock matchmaker</t>
        </is>
      </c>
      <c r="E11" s="8" t="n">
        <v>0</v>
      </c>
      <c r="F11" s="7" t="inlineStr">
        <is>
          <t>none</t>
        </is>
      </c>
      <c r="G11" s="7" t="inlineStr">
        <is>
          <t>—</t>
        </is>
      </c>
      <c r="H11" s="11" t="inlineStr">
        <is>
          <t>Clear</t>
        </is>
      </c>
      <c r="I11" s="7" t="inlineStr">
        <is>
          <t>/Texas-Matchmaker</t>
        </is>
      </c>
      <c r="J11" s="7" t="inlineStr">
        <is>
          <t>—</t>
        </is>
      </c>
    </row>
    <row r="12">
      <c r="A12" s="7" t="inlineStr">
        <is>
          <t>2</t>
        </is>
      </c>
      <c r="B12" s="7" t="inlineStr">
        <is>
          <t>Texas</t>
        </is>
      </c>
      <c r="C12" s="7" t="inlineStr">
        <is>
          <t>Houston (cost)</t>
        </is>
      </c>
      <c r="D12" s="7" t="inlineStr">
        <is>
          <t>houston matchmaker cost</t>
        </is>
      </c>
      <c r="E12" s="8" t="n">
        <v>5</v>
      </c>
      <c r="F12" s="7" t="inlineStr">
        <is>
          <t>/tv-media/blogs/id/18598/how-much-does-a-matchmaker-cost-2026</t>
        </is>
      </c>
      <c r="G12" s="7" t="n">
        <v>27</v>
      </c>
      <c r="H12" s="11" t="inlineStr">
        <is>
          <t>Clear</t>
        </is>
      </c>
      <c r="I12" s="7" t="inlineStr">
        <is>
          <t>/houston-matchmaker</t>
        </is>
      </c>
      <c r="J12" s="7" t="inlineStr">
        <is>
          <t>—</t>
        </is>
      </c>
    </row>
    <row r="13">
      <c r="A13" s="7" t="inlineStr">
        <is>
          <t>2</t>
        </is>
      </c>
      <c r="B13" s="7" t="inlineStr">
        <is>
          <t>Texas</t>
        </is>
      </c>
      <c r="C13" s="7" t="inlineStr">
        <is>
          <t>San Antonio (cost)</t>
        </is>
      </c>
      <c r="D13" s="7" t="inlineStr">
        <is>
          <t>san antonio matchmaker cost</t>
        </is>
      </c>
      <c r="E13" s="8" t="n">
        <v>0</v>
      </c>
      <c r="F13" s="7" t="inlineStr">
        <is>
          <t>none</t>
        </is>
      </c>
      <c r="G13" s="7" t="inlineStr">
        <is>
          <t>—</t>
        </is>
      </c>
      <c r="H13" s="11" t="inlineStr">
        <is>
          <t>Clear</t>
        </is>
      </c>
      <c r="I13" s="7" t="inlineStr">
        <is>
          <t>/san-antonio-matchmaker</t>
        </is>
      </c>
      <c r="J13" s="7" t="inlineStr">
        <is>
          <t>—</t>
        </is>
      </c>
    </row>
    <row r="14">
      <c r="A14" s="7" t="inlineStr">
        <is>
          <t>2</t>
        </is>
      </c>
      <c r="B14" s="7" t="inlineStr">
        <is>
          <t>California</t>
        </is>
      </c>
      <c r="C14" s="7" t="inlineStr">
        <is>
          <t>Brentwood (LA)</t>
        </is>
      </c>
      <c r="D14" s="7" t="inlineStr">
        <is>
          <t>brentwood matchmaker</t>
        </is>
      </c>
      <c r="E14" s="8" t="n">
        <v>0</v>
      </c>
      <c r="F14" s="7" t="inlineStr">
        <is>
          <t>none</t>
        </is>
      </c>
      <c r="G14" s="7" t="inlineStr">
        <is>
          <t>—</t>
        </is>
      </c>
      <c r="H14" s="11" t="inlineStr">
        <is>
          <t>Clear</t>
        </is>
      </c>
      <c r="I14" s="7" t="inlineStr">
        <is>
          <t>/los-angeles-matchmaker</t>
        </is>
      </c>
      <c r="J14" s="7" t="inlineStr">
        <is>
          <t>172</t>
        </is>
      </c>
    </row>
    <row r="15">
      <c r="A15" s="7" t="inlineStr">
        <is>
          <t>2</t>
        </is>
      </c>
      <c r="B15" s="7" t="inlineStr">
        <is>
          <t>California</t>
        </is>
      </c>
      <c r="C15" s="7" t="inlineStr">
        <is>
          <t>Pasadena</t>
        </is>
      </c>
      <c r="D15" s="7" t="inlineStr">
        <is>
          <t>pasadena matchmaker</t>
        </is>
      </c>
      <c r="E15" s="8" t="n">
        <v>0</v>
      </c>
      <c r="F15" s="7" t="inlineStr">
        <is>
          <t>none</t>
        </is>
      </c>
      <c r="G15" s="7" t="inlineStr">
        <is>
          <t>—</t>
        </is>
      </c>
      <c r="H15" s="11" t="inlineStr">
        <is>
          <t>Clear</t>
        </is>
      </c>
      <c r="I15" s="7" t="inlineStr">
        <is>
          <t>/los-angeles-matchmaker</t>
        </is>
      </c>
      <c r="J15" s="7" t="inlineStr">
        <is>
          <t>173</t>
        </is>
      </c>
    </row>
    <row r="16">
      <c r="A16" s="7" t="inlineStr">
        <is>
          <t>2</t>
        </is>
      </c>
      <c r="B16" s="7" t="inlineStr">
        <is>
          <t>California</t>
        </is>
      </c>
      <c r="C16" s="7" t="inlineStr">
        <is>
          <t>Malibu</t>
        </is>
      </c>
      <c r="D16" s="7" t="inlineStr">
        <is>
          <t>malibu matchmaker</t>
        </is>
      </c>
      <c r="E16" s="8" t="n">
        <v>0</v>
      </c>
      <c r="F16" s="7" t="inlineStr">
        <is>
          <t>none</t>
        </is>
      </c>
      <c r="G16" s="7" t="inlineStr">
        <is>
          <t>—</t>
        </is>
      </c>
      <c r="H16" s="11" t="inlineStr">
        <is>
          <t>Clear</t>
        </is>
      </c>
      <c r="I16" s="7" t="inlineStr">
        <is>
          <t>/los-angeles-matchmaker</t>
        </is>
      </c>
      <c r="J16" s="7" t="inlineStr">
        <is>
          <t>—</t>
        </is>
      </c>
    </row>
    <row r="17">
      <c r="A17" s="7" t="inlineStr">
        <is>
          <t>2</t>
        </is>
      </c>
      <c r="B17" s="7" t="inlineStr">
        <is>
          <t>California</t>
        </is>
      </c>
      <c r="C17" s="7" t="inlineStr">
        <is>
          <t>Rancho Santa Fe</t>
        </is>
      </c>
      <c r="D17" s="7" t="inlineStr">
        <is>
          <t>rancho santa fe matchmaker</t>
        </is>
      </c>
      <c r="E17" s="8" t="n">
        <v>0</v>
      </c>
      <c r="F17" s="7" t="inlineStr">
        <is>
          <t>none</t>
        </is>
      </c>
      <c r="G17" s="7" t="inlineStr">
        <is>
          <t>—</t>
        </is>
      </c>
      <c r="H17" s="11" t="inlineStr">
        <is>
          <t>Clear</t>
        </is>
      </c>
      <c r="I17" s="7" t="inlineStr">
        <is>
          <t>/san-diego-matchmaker</t>
        </is>
      </c>
      <c r="J17" s="7" t="inlineStr">
        <is>
          <t>174</t>
        </is>
      </c>
    </row>
    <row r="18">
      <c r="A18" s="7" t="inlineStr">
        <is>
          <t>2</t>
        </is>
      </c>
      <c r="B18" s="7" t="inlineStr">
        <is>
          <t>California</t>
        </is>
      </c>
      <c r="C18" s="7" t="inlineStr">
        <is>
          <t>Coronado</t>
        </is>
      </c>
      <c r="D18" s="7" t="inlineStr">
        <is>
          <t>coronado matchmaker</t>
        </is>
      </c>
      <c r="E18" s="8" t="n">
        <v>0</v>
      </c>
      <c r="F18" s="7" t="inlineStr">
        <is>
          <t>none</t>
        </is>
      </c>
      <c r="G18" s="7" t="inlineStr">
        <is>
          <t>—</t>
        </is>
      </c>
      <c r="H18" s="11" t="inlineStr">
        <is>
          <t>Clear</t>
        </is>
      </c>
      <c r="I18" s="7" t="inlineStr">
        <is>
          <t>/san-diego-matchmaker</t>
        </is>
      </c>
      <c r="J18" s="7" t="inlineStr">
        <is>
          <t>175</t>
        </is>
      </c>
    </row>
    <row r="19">
      <c r="A19" s="7" t="inlineStr">
        <is>
          <t>2</t>
        </is>
      </c>
      <c r="B19" s="7" t="inlineStr">
        <is>
          <t>California</t>
        </is>
      </c>
      <c r="C19" s="7" t="inlineStr">
        <is>
          <t>Walnut Creek / East Bay</t>
        </is>
      </c>
      <c r="D19" s="7" t="inlineStr">
        <is>
          <t>walnut creek matchmaker</t>
        </is>
      </c>
      <c r="E19" s="8" t="n">
        <v>27</v>
      </c>
      <c r="F19" s="7" t="inlineStr">
        <is>
          <t>/san-francisco-matchmaker</t>
        </is>
      </c>
      <c r="G19" s="7" t="n">
        <v>11.2</v>
      </c>
      <c r="H19" s="12" t="inlineStr">
        <is>
          <t>Watch</t>
        </is>
      </c>
      <c r="I19" s="7" t="inlineStr">
        <is>
          <t>/san-francisco-matchmaker</t>
        </is>
      </c>
      <c r="J19" s="7" t="inlineStr">
        <is>
          <t>93</t>
        </is>
      </c>
    </row>
    <row r="20">
      <c r="A20" s="7" t="inlineStr">
        <is>
          <t>2</t>
        </is>
      </c>
      <c r="B20" s="7" t="inlineStr">
        <is>
          <t>California</t>
        </is>
      </c>
      <c r="C20" s="7" t="inlineStr">
        <is>
          <t>Marin County</t>
        </is>
      </c>
      <c r="D20" s="7" t="inlineStr">
        <is>
          <t>marin matchmaker</t>
        </is>
      </c>
      <c r="E20" s="8" t="n">
        <v>0</v>
      </c>
      <c r="F20" s="7" t="inlineStr">
        <is>
          <t>none</t>
        </is>
      </c>
      <c r="G20" s="7" t="inlineStr">
        <is>
          <t>—</t>
        </is>
      </c>
      <c r="H20" s="11" t="inlineStr">
        <is>
          <t>Clear</t>
        </is>
      </c>
      <c r="I20" s="7" t="inlineStr">
        <is>
          <t>/san-francisco-matchmaker</t>
        </is>
      </c>
      <c r="J20" s="7" t="inlineStr">
        <is>
          <t>—</t>
        </is>
      </c>
    </row>
    <row r="21">
      <c r="A21" s="7" t="inlineStr">
        <is>
          <t>2</t>
        </is>
      </c>
      <c r="B21" s="7" t="inlineStr">
        <is>
          <t>California</t>
        </is>
      </c>
      <c r="C21" s="7" t="inlineStr">
        <is>
          <t>Carmel / Monterey</t>
        </is>
      </c>
      <c r="D21" s="7" t="inlineStr">
        <is>
          <t>carmel matchmaker</t>
        </is>
      </c>
      <c r="E21" s="8" t="n">
        <v>2</v>
      </c>
      <c r="F21" s="7" t="inlineStr">
        <is>
          <t>/california-matchmaker</t>
        </is>
      </c>
      <c r="G21" s="7" t="n">
        <v>22.5</v>
      </c>
      <c r="H21" s="11" t="inlineStr">
        <is>
          <t>Clear</t>
        </is>
      </c>
      <c r="I21" s="7" t="inlineStr">
        <is>
          <t>/california-matchmaker</t>
        </is>
      </c>
      <c r="J21" s="7" t="inlineStr">
        <is>
          <t>—</t>
        </is>
      </c>
    </row>
    <row r="22">
      <c r="A22" s="7" t="inlineStr">
        <is>
          <t>2</t>
        </is>
      </c>
      <c r="B22" s="7" t="inlineStr">
        <is>
          <t>California</t>
        </is>
      </c>
      <c r="C22" s="7" t="inlineStr">
        <is>
          <t>Palm Springs</t>
        </is>
      </c>
      <c r="D22" s="7" t="inlineStr">
        <is>
          <t>palm springs matchmaker</t>
        </is>
      </c>
      <c r="E22" s="8" t="n">
        <v>0</v>
      </c>
      <c r="F22" s="7" t="inlineStr">
        <is>
          <t>none</t>
        </is>
      </c>
      <c r="G22" s="7" t="inlineStr">
        <is>
          <t>—</t>
        </is>
      </c>
      <c r="H22" s="11" t="inlineStr">
        <is>
          <t>Clear</t>
        </is>
      </c>
      <c r="I22" s="7" t="inlineStr">
        <is>
          <t>/california-matchmaker</t>
        </is>
      </c>
      <c r="J22" s="7" t="inlineStr">
        <is>
          <t>—</t>
        </is>
      </c>
    </row>
    <row r="23">
      <c r="A23" s="7" t="inlineStr">
        <is>
          <t>2</t>
        </is>
      </c>
      <c r="B23" s="7" t="inlineStr">
        <is>
          <t>California</t>
        </is>
      </c>
      <c r="C23" s="7" t="inlineStr">
        <is>
          <t>Los Angeles (cost)</t>
        </is>
      </c>
      <c r="D23" s="7" t="inlineStr">
        <is>
          <t>los angeles matchmaker cost</t>
        </is>
      </c>
      <c r="E23" s="8" t="n">
        <v>0</v>
      </c>
      <c r="F23" s="7" t="inlineStr">
        <is>
          <t>none</t>
        </is>
      </c>
      <c r="G23" s="7" t="inlineStr">
        <is>
          <t>—</t>
        </is>
      </c>
      <c r="H23" s="11" t="inlineStr">
        <is>
          <t>Clear</t>
        </is>
      </c>
      <c r="I23" s="7" t="inlineStr">
        <is>
          <t>/los-angeles-matchmaker</t>
        </is>
      </c>
      <c r="J23" s="7" t="inlineStr">
        <is>
          <t>—</t>
        </is>
      </c>
    </row>
    <row r="24">
      <c r="A24" s="7" t="inlineStr">
        <is>
          <t>2</t>
        </is>
      </c>
      <c r="B24" s="7" t="inlineStr">
        <is>
          <t>California</t>
        </is>
      </c>
      <c r="C24" s="7" t="inlineStr">
        <is>
          <t>San Francisco (cost)</t>
        </is>
      </c>
      <c r="D24" s="7" t="inlineStr">
        <is>
          <t>san francisco matchmaker cost</t>
        </is>
      </c>
      <c r="E24" s="8" t="n">
        <v>0</v>
      </c>
      <c r="F24" s="7" t="inlineStr">
        <is>
          <t>none</t>
        </is>
      </c>
      <c r="G24" s="7" t="inlineStr">
        <is>
          <t>—</t>
        </is>
      </c>
      <c r="H24" s="11" t="inlineStr">
        <is>
          <t>Clear</t>
        </is>
      </c>
      <c r="I24" s="7" t="inlineStr">
        <is>
          <t>/san-francisco-matchmaker</t>
        </is>
      </c>
      <c r="J24" s="7" t="inlineStr">
        <is>
          <t>—</t>
        </is>
      </c>
    </row>
    <row r="25">
      <c r="A25" s="7" t="inlineStr">
        <is>
          <t>2</t>
        </is>
      </c>
      <c r="B25" s="7" t="inlineStr">
        <is>
          <t>California</t>
        </is>
      </c>
      <c r="C25" s="7" t="inlineStr">
        <is>
          <t>San Diego (cost)</t>
        </is>
      </c>
      <c r="D25" s="7" t="inlineStr">
        <is>
          <t>san diego matchmaker cost</t>
        </is>
      </c>
      <c r="E25" s="8" t="n">
        <v>0</v>
      </c>
      <c r="F25" s="7" t="inlineStr">
        <is>
          <t>none</t>
        </is>
      </c>
      <c r="G25" s="7" t="inlineStr">
        <is>
          <t>—</t>
        </is>
      </c>
      <c r="H25" s="11" t="inlineStr">
        <is>
          <t>Clear</t>
        </is>
      </c>
      <c r="I25" s="7" t="inlineStr">
        <is>
          <t>/san-diego-matchmaker</t>
        </is>
      </c>
      <c r="J25" s="7" t="inlineStr">
        <is>
          <t>—</t>
        </is>
      </c>
    </row>
    <row r="26">
      <c r="A26" s="7" t="inlineStr">
        <is>
          <t>3</t>
        </is>
      </c>
      <c r="B26" s="7" t="inlineStr">
        <is>
          <t>Mid-Atlantic</t>
        </is>
      </c>
      <c r="C26" s="7" t="inlineStr">
        <is>
          <t>Bethesda / Chevy Chase</t>
        </is>
      </c>
      <c r="D26" s="7" t="inlineStr">
        <is>
          <t>bethesda matchmaker</t>
        </is>
      </c>
      <c r="E26" s="8" t="n">
        <v>0</v>
      </c>
      <c r="F26" s="7" t="inlineStr">
        <is>
          <t>none</t>
        </is>
      </c>
      <c r="G26" s="7" t="inlineStr">
        <is>
          <t>—</t>
        </is>
      </c>
      <c r="H26" s="11" t="inlineStr">
        <is>
          <t>Clear</t>
        </is>
      </c>
      <c r="I26" s="7" t="inlineStr">
        <is>
          <t>/maryland-matchmaker</t>
        </is>
      </c>
      <c r="J26" s="7" t="inlineStr">
        <is>
          <t>—</t>
        </is>
      </c>
    </row>
    <row r="27">
      <c r="A27" s="7" t="inlineStr">
        <is>
          <t>3</t>
        </is>
      </c>
      <c r="B27" s="7" t="inlineStr">
        <is>
          <t>Mid-Atlantic</t>
        </is>
      </c>
      <c r="C27" s="7" t="inlineStr">
        <is>
          <t>McLean</t>
        </is>
      </c>
      <c r="D27" s="7" t="inlineStr">
        <is>
          <t>mclean matchmaker</t>
        </is>
      </c>
      <c r="E27" s="8" t="n">
        <v>0</v>
      </c>
      <c r="F27" s="7" t="inlineStr">
        <is>
          <t>none</t>
        </is>
      </c>
      <c r="G27" s="7" t="inlineStr">
        <is>
          <t>—</t>
        </is>
      </c>
      <c r="H27" s="11" t="inlineStr">
        <is>
          <t>Clear</t>
        </is>
      </c>
      <c r="I27" s="7" t="inlineStr">
        <is>
          <t>/Virginia-Matchmaker</t>
        </is>
      </c>
      <c r="J27" s="7" t="inlineStr">
        <is>
          <t>—</t>
        </is>
      </c>
    </row>
    <row r="28">
      <c r="A28" s="7" t="inlineStr">
        <is>
          <t>3</t>
        </is>
      </c>
      <c r="B28" s="7" t="inlineStr">
        <is>
          <t>Mid-Atlantic</t>
        </is>
      </c>
      <c r="C28" s="7" t="inlineStr">
        <is>
          <t>Annapolis</t>
        </is>
      </c>
      <c r="D28" s="7" t="inlineStr">
        <is>
          <t>annapolis matchmaker</t>
        </is>
      </c>
      <c r="E28" s="8" t="n">
        <v>0</v>
      </c>
      <c r="F28" s="7" t="inlineStr">
        <is>
          <t>none</t>
        </is>
      </c>
      <c r="G28" s="7" t="inlineStr">
        <is>
          <t>—</t>
        </is>
      </c>
      <c r="H28" s="11" t="inlineStr">
        <is>
          <t>Clear</t>
        </is>
      </c>
      <c r="I28" s="7" t="inlineStr">
        <is>
          <t>/maryland-matchmaker</t>
        </is>
      </c>
      <c r="J28" s="7" t="inlineStr">
        <is>
          <t>—</t>
        </is>
      </c>
    </row>
    <row r="29">
      <c r="A29" s="7" t="inlineStr">
        <is>
          <t>3</t>
        </is>
      </c>
      <c r="B29" s="7" t="inlineStr">
        <is>
          <t>Mid-Atlantic</t>
        </is>
      </c>
      <c r="C29" s="7" t="inlineStr">
        <is>
          <t>Princeton</t>
        </is>
      </c>
      <c r="D29" s="7" t="inlineStr">
        <is>
          <t>princeton matchmaker</t>
        </is>
      </c>
      <c r="E29" s="8" t="n">
        <v>0</v>
      </c>
      <c r="F29" s="7" t="inlineStr">
        <is>
          <t>none</t>
        </is>
      </c>
      <c r="G29" s="7" t="inlineStr">
        <is>
          <t>—</t>
        </is>
      </c>
      <c r="H29" s="11" t="inlineStr">
        <is>
          <t>Clear</t>
        </is>
      </c>
      <c r="I29" s="7" t="inlineStr">
        <is>
          <t>/new-jersey-matchmaker</t>
        </is>
      </c>
      <c r="J29" s="7" t="inlineStr">
        <is>
          <t>—</t>
        </is>
      </c>
    </row>
    <row r="30">
      <c r="A30" s="7" t="inlineStr">
        <is>
          <t>3</t>
        </is>
      </c>
      <c r="B30" s="7" t="inlineStr">
        <is>
          <t>Mid-Atlantic</t>
        </is>
      </c>
      <c r="C30" s="7" t="inlineStr">
        <is>
          <t>Montclair</t>
        </is>
      </c>
      <c r="D30" s="7" t="inlineStr">
        <is>
          <t>montclair matchmaker</t>
        </is>
      </c>
      <c r="E30" s="8" t="n">
        <v>0</v>
      </c>
      <c r="F30" s="7" t="inlineStr">
        <is>
          <t>none</t>
        </is>
      </c>
      <c r="G30" s="7" t="inlineStr">
        <is>
          <t>—</t>
        </is>
      </c>
      <c r="H30" s="11" t="inlineStr">
        <is>
          <t>Clear</t>
        </is>
      </c>
      <c r="I30" s="7" t="inlineStr">
        <is>
          <t>/new-jersey-matchmaker</t>
        </is>
      </c>
      <c r="J30" s="7" t="inlineStr">
        <is>
          <t>—</t>
        </is>
      </c>
    </row>
    <row r="31">
      <c r="A31" s="7" t="inlineStr">
        <is>
          <t>3</t>
        </is>
      </c>
      <c r="B31" s="7" t="inlineStr">
        <is>
          <t>Mid-Atlantic</t>
        </is>
      </c>
      <c r="C31" s="7" t="inlineStr">
        <is>
          <t>Delaware</t>
        </is>
      </c>
      <c r="D31" s="7" t="inlineStr">
        <is>
          <t>delaware matchmaker</t>
        </is>
      </c>
      <c r="E31" s="8" t="n">
        <v>30</v>
      </c>
      <c r="F31" s="7" t="inlineStr">
        <is>
          <t>/philadelphia-matchmaker</t>
        </is>
      </c>
      <c r="G31" s="7" t="n">
        <v>11.7</v>
      </c>
      <c r="H31" s="12" t="inlineStr">
        <is>
          <t>Watch</t>
        </is>
      </c>
      <c r="I31" s="7" t="inlineStr">
        <is>
          <t>/philadelphia-matchmaker</t>
        </is>
      </c>
      <c r="J31" s="7" t="inlineStr">
        <is>
          <t>—</t>
        </is>
      </c>
    </row>
    <row r="32">
      <c r="A32" s="7" t="inlineStr">
        <is>
          <t>3</t>
        </is>
      </c>
      <c r="B32" s="7" t="inlineStr">
        <is>
          <t>Mid-Atlantic</t>
        </is>
      </c>
      <c r="C32" s="7" t="inlineStr">
        <is>
          <t>Charlottesville</t>
        </is>
      </c>
      <c r="D32" s="7" t="inlineStr">
        <is>
          <t>charlottesville matchmaker</t>
        </is>
      </c>
      <c r="E32" s="8" t="n">
        <v>0</v>
      </c>
      <c r="F32" s="7" t="inlineStr">
        <is>
          <t>none</t>
        </is>
      </c>
      <c r="G32" s="7" t="inlineStr">
        <is>
          <t>—</t>
        </is>
      </c>
      <c r="H32" s="11" t="inlineStr">
        <is>
          <t>Clear</t>
        </is>
      </c>
      <c r="I32" s="7" t="inlineStr">
        <is>
          <t>/Virginia-Matchmaker</t>
        </is>
      </c>
      <c r="J32" s="7" t="inlineStr">
        <is>
          <t>—</t>
        </is>
      </c>
    </row>
    <row r="33">
      <c r="A33" s="7" t="inlineStr">
        <is>
          <t>3</t>
        </is>
      </c>
      <c r="B33" s="7" t="inlineStr">
        <is>
          <t>Mid-Atlantic</t>
        </is>
      </c>
      <c r="C33" s="7" t="inlineStr">
        <is>
          <t>Baltimore (cost)</t>
        </is>
      </c>
      <c r="D33" s="7" t="inlineStr">
        <is>
          <t>baltimore matchmaker cost</t>
        </is>
      </c>
      <c r="E33" s="8" t="n">
        <v>0</v>
      </c>
      <c r="F33" s="7" t="inlineStr">
        <is>
          <t>none</t>
        </is>
      </c>
      <c r="G33" s="7" t="inlineStr">
        <is>
          <t>—</t>
        </is>
      </c>
      <c r="H33" s="11" t="inlineStr">
        <is>
          <t>Clear</t>
        </is>
      </c>
      <c r="I33" s="7" t="inlineStr">
        <is>
          <t>/maryland-matchmaker</t>
        </is>
      </c>
      <c r="J33" s="7" t="inlineStr">
        <is>
          <t>—</t>
        </is>
      </c>
    </row>
    <row r="34">
      <c r="A34" s="7" t="inlineStr">
        <is>
          <t>3</t>
        </is>
      </c>
      <c r="B34" s="7" t="inlineStr">
        <is>
          <t>New York</t>
        </is>
      </c>
      <c r="C34" s="7" t="inlineStr">
        <is>
          <t>Brooklyn</t>
        </is>
      </c>
      <c r="D34" s="7" t="inlineStr">
        <is>
          <t>brooklyn matchmaker</t>
        </is>
      </c>
      <c r="E34" s="8" t="n">
        <v>14</v>
      </c>
      <c r="F34" s="7" t="inlineStr">
        <is>
          <t>/new-york-matchmaker</t>
        </is>
      </c>
      <c r="G34" s="7" t="n">
        <v>7.2</v>
      </c>
      <c r="H34" s="13" t="inlineStr">
        <is>
          <t>Owned</t>
        </is>
      </c>
      <c r="I34" s="7" t="inlineStr">
        <is>
          <t>/new-york-matchmaker</t>
        </is>
      </c>
      <c r="J34" s="7" t="inlineStr">
        <is>
          <t>—</t>
        </is>
      </c>
    </row>
    <row r="35">
      <c r="A35" s="7" t="inlineStr">
        <is>
          <t>3</t>
        </is>
      </c>
      <c r="B35" s="7" t="inlineStr">
        <is>
          <t>New York</t>
        </is>
      </c>
      <c r="C35" s="7" t="inlineStr">
        <is>
          <t>Tribeca / downtown</t>
        </is>
      </c>
      <c r="D35" s="7" t="inlineStr">
        <is>
          <t>tribeca matchmaker</t>
        </is>
      </c>
      <c r="E35" s="8" t="n">
        <v>0</v>
      </c>
      <c r="F35" s="7" t="inlineStr">
        <is>
          <t>none</t>
        </is>
      </c>
      <c r="G35" s="7" t="inlineStr">
        <is>
          <t>—</t>
        </is>
      </c>
      <c r="H35" s="11" t="inlineStr">
        <is>
          <t>Clear</t>
        </is>
      </c>
      <c r="I35" s="7" t="inlineStr">
        <is>
          <t>/new-york-matchmaker</t>
        </is>
      </c>
      <c r="J35" s="7" t="inlineStr">
        <is>
          <t>5, 10 (merged)</t>
        </is>
      </c>
    </row>
    <row r="36">
      <c r="A36" s="7" t="inlineStr">
        <is>
          <t>3</t>
        </is>
      </c>
      <c r="B36" s="7" t="inlineStr">
        <is>
          <t>New York</t>
        </is>
      </c>
      <c r="C36" s="7" t="inlineStr">
        <is>
          <t>Upper East Side</t>
        </is>
      </c>
      <c r="D36" s="7" t="inlineStr">
        <is>
          <t>upper east side matchmaker</t>
        </is>
      </c>
      <c r="E36" s="8" t="n">
        <v>0</v>
      </c>
      <c r="F36" s="7" t="inlineStr">
        <is>
          <t>none</t>
        </is>
      </c>
      <c r="G36" s="7" t="inlineStr">
        <is>
          <t>—</t>
        </is>
      </c>
      <c r="H36" s="11" t="inlineStr">
        <is>
          <t>Clear</t>
        </is>
      </c>
      <c r="I36" s="7" t="inlineStr">
        <is>
          <t>/new-york-matchmaker</t>
        </is>
      </c>
      <c r="J36" s="7" t="inlineStr">
        <is>
          <t>—</t>
        </is>
      </c>
    </row>
    <row r="37">
      <c r="A37" s="7" t="inlineStr">
        <is>
          <t>3</t>
        </is>
      </c>
      <c r="B37" s="7" t="inlineStr">
        <is>
          <t>New York</t>
        </is>
      </c>
      <c r="C37" s="7" t="inlineStr">
        <is>
          <t>Scarsdale</t>
        </is>
      </c>
      <c r="D37" s="7" t="inlineStr">
        <is>
          <t>scarsdale matchmaker</t>
        </is>
      </c>
      <c r="E37" s="8" t="n">
        <v>0</v>
      </c>
      <c r="F37" s="7" t="inlineStr">
        <is>
          <t>none</t>
        </is>
      </c>
      <c r="G37" s="7" t="inlineStr">
        <is>
          <t>—</t>
        </is>
      </c>
      <c r="H37" s="11" t="inlineStr">
        <is>
          <t>Clear</t>
        </is>
      </c>
      <c r="I37" s="7" t="inlineStr">
        <is>
          <t>/new-york-matchmaker</t>
        </is>
      </c>
      <c r="J37" s="7" t="inlineStr">
        <is>
          <t>—</t>
        </is>
      </c>
    </row>
    <row r="38">
      <c r="A38" s="7" t="inlineStr">
        <is>
          <t>3</t>
        </is>
      </c>
      <c r="B38" s="7" t="inlineStr">
        <is>
          <t>New York</t>
        </is>
      </c>
      <c r="C38" s="7" t="inlineStr">
        <is>
          <t>Upstate (Albany / Saratoga)</t>
        </is>
      </c>
      <c r="D38" s="7" t="inlineStr">
        <is>
          <t>albany matchmaker</t>
        </is>
      </c>
      <c r="E38" s="8" t="n">
        <v>0</v>
      </c>
      <c r="F38" s="7" t="inlineStr">
        <is>
          <t>none</t>
        </is>
      </c>
      <c r="G38" s="7" t="inlineStr">
        <is>
          <t>—</t>
        </is>
      </c>
      <c r="H38" s="11" t="inlineStr">
        <is>
          <t>Clear</t>
        </is>
      </c>
      <c r="I38" s="7" t="inlineStr">
        <is>
          <t>/new-york-matchmaker</t>
        </is>
      </c>
      <c r="J38" s="7" t="inlineStr">
        <is>
          <t>—</t>
        </is>
      </c>
    </row>
    <row r="39">
      <c r="A39" s="7" t="inlineStr">
        <is>
          <t>3</t>
        </is>
      </c>
      <c r="B39" s="7" t="inlineStr">
        <is>
          <t>New York</t>
        </is>
      </c>
      <c r="C39" s="7" t="inlineStr">
        <is>
          <t>New York (cost)</t>
        </is>
      </c>
      <c r="D39" s="7" t="inlineStr">
        <is>
          <t>nyc matchmaker cost</t>
        </is>
      </c>
      <c r="E39" s="8" t="n">
        <v>23</v>
      </c>
      <c r="F39" s="7" t="inlineStr">
        <is>
          <t>/tv-media/blogs/id/18598/how-much-does-a-matchmaker-cost-2026</t>
        </is>
      </c>
      <c r="G39" s="7" t="n">
        <v>36.1</v>
      </c>
      <c r="H39" s="11" t="inlineStr">
        <is>
          <t>Clear</t>
        </is>
      </c>
      <c r="I39" s="7" t="inlineStr">
        <is>
          <t>/new-york-matchmaker</t>
        </is>
      </c>
      <c r="J39" s="7" t="inlineStr">
        <is>
          <t>—</t>
        </is>
      </c>
    </row>
    <row r="40">
      <c r="A40" s="7" t="inlineStr">
        <is>
          <t>Later</t>
        </is>
      </c>
      <c r="B40" s="7" t="inlineStr">
        <is>
          <t>Other regions</t>
        </is>
      </c>
      <c r="C40" s="7" t="inlineStr">
        <is>
          <t>Back Bay / Wellesley</t>
        </is>
      </c>
      <c r="D40" s="7" t="inlineStr">
        <is>
          <t>wellesley matchmaker</t>
        </is>
      </c>
      <c r="E40" s="8" t="n">
        <v>32</v>
      </c>
      <c r="F40" s="7" t="inlineStr">
        <is>
          <t>/massachusetts-matchmaker</t>
        </is>
      </c>
      <c r="G40" s="7" t="n">
        <v>6.8</v>
      </c>
      <c r="H40" s="13" t="inlineStr">
        <is>
          <t>Owned</t>
        </is>
      </c>
      <c r="I40" s="7" t="inlineStr">
        <is>
          <t>/boston-matchmaker</t>
        </is>
      </c>
      <c r="J40" s="7" t="inlineStr">
        <is>
          <t>47, 50</t>
        </is>
      </c>
    </row>
    <row r="41">
      <c r="A41" s="7" t="inlineStr">
        <is>
          <t>Later</t>
        </is>
      </c>
      <c r="B41" s="7" t="inlineStr">
        <is>
          <t>Other regions</t>
        </is>
      </c>
      <c r="C41" s="7" t="inlineStr">
        <is>
          <t>North Shore / Naperville</t>
        </is>
      </c>
      <c r="D41" s="7" t="inlineStr">
        <is>
          <t>naperville matchmaker</t>
        </is>
      </c>
      <c r="E41" s="8" t="n">
        <v>0</v>
      </c>
      <c r="F41" s="7" t="inlineStr">
        <is>
          <t>none</t>
        </is>
      </c>
      <c r="G41" s="7" t="inlineStr">
        <is>
          <t>—</t>
        </is>
      </c>
      <c r="H41" s="11" t="inlineStr">
        <is>
          <t>Clear</t>
        </is>
      </c>
      <c r="I41" s="7" t="inlineStr">
        <is>
          <t>/chicago-matchmaker</t>
        </is>
      </c>
      <c r="J41" s="7" t="inlineStr">
        <is>
          <t>52, 55</t>
        </is>
      </c>
    </row>
    <row r="42">
      <c r="A42" s="7" t="inlineStr">
        <is>
          <t>Later</t>
        </is>
      </c>
      <c r="B42" s="7" t="inlineStr">
        <is>
          <t>Other regions</t>
        </is>
      </c>
      <c r="C42" s="7" t="inlineStr">
        <is>
          <t>Cherry Creek</t>
        </is>
      </c>
      <c r="D42" s="7" t="inlineStr">
        <is>
          <t>cherry creek matchmaker</t>
        </is>
      </c>
      <c r="E42" s="8" t="n">
        <v>0</v>
      </c>
      <c r="F42" s="7" t="inlineStr">
        <is>
          <t>none</t>
        </is>
      </c>
      <c r="G42" s="7" t="inlineStr">
        <is>
          <t>—</t>
        </is>
      </c>
      <c r="H42" s="11" t="inlineStr">
        <is>
          <t>Clear</t>
        </is>
      </c>
      <c r="I42" s="7" t="inlineStr">
        <is>
          <t>/denver-matchmaker</t>
        </is>
      </c>
      <c r="J42" s="7" t="inlineStr">
        <is>
          <t>180</t>
        </is>
      </c>
    </row>
    <row r="44">
      <c r="A44" s="14" t="inlineStr">
        <is>
          <t>Months 2 and 3 each need 60. The rest of each month is long-tail work chosen from a fresh GSC pull after Month 1 publishes, the same way Month 1's long-tail half was chosen. Main Line, Jersey City / Hoboken, Dallas cost and Philadelphia cost were checked and left out, because a landing page or post already ranks top 10.</t>
        </is>
      </c>
    </row>
  </sheetData>
  <autoFilter ref="A1:J4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18" customWidth="1" min="3" max="3"/>
    <col width="60" customWidth="1" min="4" max="4"/>
    <col width="30" customWidth="1" min="5" max="5"/>
    <col width="12" customWidth="1" min="6" max="6"/>
    <col width="80" customWidth="1" min="7" max="7"/>
  </cols>
  <sheetData>
    <row r="1" ht="32" customHeight="1">
      <c r="A1" s="6" t="inlineStr">
        <is>
          <t>Q2 #</t>
        </is>
      </c>
      <c r="B1" s="6" t="inlineStr">
        <is>
          <t>Q2 month</t>
        </is>
      </c>
      <c r="C1" s="6" t="inlineStr">
        <is>
          <t>Q2 lane</t>
        </is>
      </c>
      <c r="D1" s="6" t="inlineStr">
        <is>
          <t>Q2 title</t>
        </is>
      </c>
      <c r="E1" s="6" t="inlineStr">
        <is>
          <t>Q2 target</t>
        </is>
      </c>
      <c r="F1" s="6" t="inlineStr">
        <is>
          <t>Verdict</t>
        </is>
      </c>
      <c r="G1" s="6" t="inlineStr">
        <is>
          <t>Why</t>
        </is>
      </c>
    </row>
    <row r="2">
      <c r="A2" s="7" t="n">
        <v>1</v>
      </c>
      <c r="B2" s="7" t="inlineStr">
        <is>
          <t>1</t>
        </is>
      </c>
      <c r="C2" s="7" t="inlineStr">
        <is>
          <t>Refresh: client's older post</t>
        </is>
      </c>
      <c r="D2" s="7" t="inlineStr">
        <is>
          <t>REFRESH: How To Choose The Right Matchmaker</t>
        </is>
      </c>
      <c r="E2" s="7" t="inlineStr">
        <is>
          <t>how to choose a selective membership dating service?</t>
        </is>
      </c>
      <c r="F2" s="15" t="inlineStr">
        <is>
          <t>Refresh</t>
        </is>
      </c>
      <c r="G2" s="7" t="inlineStr">
        <is>
          <t>Refreshes tab (outside the 60)</t>
        </is>
      </c>
    </row>
    <row r="3">
      <c r="A3" s="7" t="n">
        <v>2</v>
      </c>
      <c r="B3" s="7" t="inlineStr">
        <is>
          <t>1</t>
        </is>
      </c>
      <c r="C3" s="7" t="inlineStr">
        <is>
          <t>Refresh: client's older post</t>
        </is>
      </c>
      <c r="D3" s="7" t="inlineStr">
        <is>
          <t>REFRESH: The 6 Best Places To Find Love In And Around The San Francisco Bay Area Insights From A San Francisco Matchmaker</t>
        </is>
      </c>
      <c r="E3" s="7" t="inlineStr">
        <is>
          <t>finding love in san francisco</t>
        </is>
      </c>
      <c r="F3" s="15" t="inlineStr">
        <is>
          <t>Refresh</t>
        </is>
      </c>
      <c r="G3" s="7" t="inlineStr">
        <is>
          <t>Refreshes tab (outside the 60)</t>
        </is>
      </c>
    </row>
    <row r="4">
      <c r="A4" s="7" t="n">
        <v>3</v>
      </c>
      <c r="B4" s="7" t="inlineStr">
        <is>
          <t>1</t>
        </is>
      </c>
      <c r="C4" s="7" t="inlineStr">
        <is>
          <t>Reddit market</t>
        </is>
      </c>
      <c r="D4" s="7" t="inlineStr">
        <is>
          <t>Manhattan Matchmaker: Introductions Without the Wider New York Pool</t>
        </is>
      </c>
      <c r="E4" s="7" t="inlineStr">
        <is>
          <t>new york matchmaker</t>
        </is>
      </c>
      <c r="F4" s="9" t="inlineStr">
        <is>
          <t>Month 1</t>
        </is>
      </c>
      <c r="G4" s="7" t="inlineStr">
        <is>
          <t>Month 1 row 46</t>
        </is>
      </c>
    </row>
    <row r="5">
      <c r="A5" s="7" t="n">
        <v>4</v>
      </c>
      <c r="B5" s="7" t="inlineStr">
        <is>
          <t>1</t>
        </is>
      </c>
      <c r="C5" s="7" t="inlineStr">
        <is>
          <t>Reddit market</t>
        </is>
      </c>
      <c r="D5" s="7" t="inlineStr">
        <is>
          <t>New York Matchmaker for Executives Who Cannot Date on a Schedule</t>
        </is>
      </c>
      <c r="E5" s="7" t="inlineStr">
        <is>
          <t>new york matchmaker</t>
        </is>
      </c>
      <c r="F5" s="16" t="inlineStr">
        <is>
          <t>Owned</t>
        </is>
      </c>
      <c r="G5" s="7" t="inlineStr">
        <is>
          <t>Targets 'new york matchmaker', which /new-york-matchmaker owns. Improve the landing page instead.</t>
        </is>
      </c>
    </row>
    <row r="6">
      <c r="A6" s="7" t="n">
        <v>5</v>
      </c>
      <c r="B6" s="7" t="inlineStr">
        <is>
          <t>1</t>
        </is>
      </c>
      <c r="C6" s="7" t="inlineStr">
        <is>
          <t>Reddit market</t>
        </is>
      </c>
      <c r="D6" s="7" t="inlineStr">
        <is>
          <t>Tribeca Matchmaker: A Search That Stays Local</t>
        </is>
      </c>
      <c r="E6" s="7" t="inlineStr">
        <is>
          <t>new york matchmaker</t>
        </is>
      </c>
      <c r="F6" s="15" t="inlineStr">
        <is>
          <t>Pipeline</t>
        </is>
      </c>
      <c r="G6" s="7" t="inlineStr">
        <is>
          <t>Months 2-3 pipeline: Tribeca / downtown</t>
        </is>
      </c>
    </row>
    <row r="7">
      <c r="A7" s="7" t="n">
        <v>6</v>
      </c>
      <c r="B7" s="7" t="inlineStr">
        <is>
          <t>1</t>
        </is>
      </c>
      <c r="C7" s="7" t="inlineStr">
        <is>
          <t>Reddit market</t>
        </is>
      </c>
      <c r="D7" s="7" t="inlineStr">
        <is>
          <t>How New York Matchmakers Screen the People They Introduce</t>
        </is>
      </c>
      <c r="E7" s="7" t="inlineStr">
        <is>
          <t>new york matchmaker</t>
        </is>
      </c>
      <c r="F7" s="16" t="inlineStr">
        <is>
          <t>Owned</t>
        </is>
      </c>
      <c r="G7" s="7" t="inlineStr">
        <is>
          <t>Targets 'new york matchmaker', which /new-york-matchmaker owns. Improve the landing page instead.</t>
        </is>
      </c>
    </row>
    <row r="8">
      <c r="A8" s="7" t="n">
        <v>7</v>
      </c>
      <c r="B8" s="7" t="inlineStr">
        <is>
          <t>1</t>
        </is>
      </c>
      <c r="C8" s="7" t="inlineStr">
        <is>
          <t>Reddit market</t>
        </is>
      </c>
      <c r="D8" s="7" t="inlineStr">
        <is>
          <t>New York Matchmaker for Divorced Professionals Starting Again</t>
        </is>
      </c>
      <c r="E8" s="7" t="inlineStr">
        <is>
          <t>new york matchmaker</t>
        </is>
      </c>
      <c r="F8" s="16" t="inlineStr">
        <is>
          <t>Owned</t>
        </is>
      </c>
      <c r="G8" s="7" t="inlineStr">
        <is>
          <t>Targets 'new york matchmaker', which /new-york-matchmaker owns. Improve the landing page instead.</t>
        </is>
      </c>
    </row>
    <row r="9">
      <c r="A9" s="7" t="n">
        <v>8</v>
      </c>
      <c r="B9" s="7" t="inlineStr">
        <is>
          <t>1</t>
        </is>
      </c>
      <c r="C9" s="7" t="inlineStr">
        <is>
          <t>Reddit market</t>
        </is>
      </c>
      <c r="D9" s="7" t="inlineStr">
        <is>
          <t>Manhattan Matchmaker: Discretion in a Small, Known Circle</t>
        </is>
      </c>
      <c r="E9" s="7" t="inlineStr">
        <is>
          <t>new york matchmaker</t>
        </is>
      </c>
      <c r="F9" s="9" t="inlineStr">
        <is>
          <t>Month 1</t>
        </is>
      </c>
      <c r="G9" s="7" t="inlineStr">
        <is>
          <t>Month 1 row 46</t>
        </is>
      </c>
    </row>
    <row r="10">
      <c r="A10" s="7" t="n">
        <v>9</v>
      </c>
      <c r="B10" s="7" t="inlineStr">
        <is>
          <t>1</t>
        </is>
      </c>
      <c r="C10" s="7" t="inlineStr">
        <is>
          <t>Reddit market</t>
        </is>
      </c>
      <c r="D10" s="7" t="inlineStr">
        <is>
          <t>How Long a New York Matchmaker Search Actually Takes</t>
        </is>
      </c>
      <c r="E10" s="7" t="inlineStr">
        <is>
          <t>new york matchmaker</t>
        </is>
      </c>
      <c r="F10" s="16" t="inlineStr">
        <is>
          <t>Owned</t>
        </is>
      </c>
      <c r="G10" s="7" t="inlineStr">
        <is>
          <t>Targets 'new york matchmaker', which /new-york-matchmaker owns. Improve the landing page instead.</t>
        </is>
      </c>
    </row>
    <row r="11">
      <c r="A11" s="7" t="n">
        <v>10</v>
      </c>
      <c r="B11" s="7" t="inlineStr">
        <is>
          <t>1</t>
        </is>
      </c>
      <c r="C11" s="7" t="inlineStr">
        <is>
          <t>Reddit market</t>
        </is>
      </c>
      <c r="D11" s="7" t="inlineStr">
        <is>
          <t>Tribeca Matchmaker: When Your Circle Is Already Small</t>
        </is>
      </c>
      <c r="E11" s="7" t="inlineStr">
        <is>
          <t>new york matchmaker</t>
        </is>
      </c>
      <c r="F11" s="15" t="inlineStr">
        <is>
          <t>Pipeline</t>
        </is>
      </c>
      <c r="G11" s="7" t="inlineStr">
        <is>
          <t>Months 2-3 pipeline: Tribeca / downtown</t>
        </is>
      </c>
    </row>
    <row r="12">
      <c r="A12" s="7" t="n">
        <v>11</v>
      </c>
      <c r="B12" s="7" t="inlineStr">
        <is>
          <t>1</t>
        </is>
      </c>
      <c r="C12" s="7" t="inlineStr">
        <is>
          <t>New market</t>
        </is>
      </c>
      <c r="D12" s="7" t="inlineStr">
        <is>
          <t>West Palm Beach Matchmaker: What the Search Looks Like Here</t>
        </is>
      </c>
      <c r="E12" s="7" t="inlineStr">
        <is>
          <t>west palm beach matchmaker</t>
        </is>
      </c>
      <c r="F12" s="16" t="inlineStr">
        <is>
          <t>Owned</t>
        </is>
      </c>
      <c r="G12" s="7" t="inlineStr">
        <is>
          <t>Targets 'west palm beach matchmaker', which /west-palm-beach-matchmaker owns. Improve the landing page instead.</t>
        </is>
      </c>
    </row>
    <row r="13">
      <c r="A13" s="7" t="n">
        <v>12</v>
      </c>
      <c r="B13" s="7" t="inlineStr">
        <is>
          <t>1</t>
        </is>
      </c>
      <c r="C13" s="7" t="inlineStr">
        <is>
          <t>New market</t>
        </is>
      </c>
      <c r="D13" s="7" t="inlineStr">
        <is>
          <t>Hiring a Matchmaker in West Palm Beach: What to Ask First</t>
        </is>
      </c>
      <c r="E13" s="7" t="inlineStr">
        <is>
          <t>west palm beach matchmaker</t>
        </is>
      </c>
      <c r="F13" s="16" t="inlineStr">
        <is>
          <t>Owned</t>
        </is>
      </c>
      <c r="G13" s="7" t="inlineStr">
        <is>
          <t>Targets 'west palm beach matchmaker', which /west-palm-beach-matchmaker owns. Improve the landing page instead.</t>
        </is>
      </c>
    </row>
    <row r="14">
      <c r="A14" s="7" t="n">
        <v>13</v>
      </c>
      <c r="B14" s="7" t="inlineStr">
        <is>
          <t>1</t>
        </is>
      </c>
      <c r="C14" s="7" t="inlineStr">
        <is>
          <t>New market</t>
        </is>
      </c>
      <c r="D14" s="7" t="inlineStr">
        <is>
          <t>Austin Matchmaker for Professionals Who Are Done With Apps</t>
        </is>
      </c>
      <c r="E14" s="7" t="inlineStr">
        <is>
          <t>austin matchmaker</t>
        </is>
      </c>
      <c r="F14" s="16" t="inlineStr">
        <is>
          <t>Owned</t>
        </is>
      </c>
      <c r="G14" s="7" t="inlineStr">
        <is>
          <t>Targets 'austin matchmaker', which /austin-matchmaker owns. Improve the landing page instead.</t>
        </is>
      </c>
    </row>
    <row r="15">
      <c r="A15" s="7" t="n">
        <v>14</v>
      </c>
      <c r="B15" s="7" t="inlineStr">
        <is>
          <t>1</t>
        </is>
      </c>
      <c r="C15" s="7" t="inlineStr">
        <is>
          <t>New market</t>
        </is>
      </c>
      <c r="D15" s="7" t="inlineStr">
        <is>
          <t>San Antonio Matchmaker: Verified Introductions, Not Blind Dates</t>
        </is>
      </c>
      <c r="E15" s="7" t="inlineStr">
        <is>
          <t>san antonio matchmaker</t>
        </is>
      </c>
      <c r="F15" s="16" t="inlineStr">
        <is>
          <t>Owned</t>
        </is>
      </c>
      <c r="G15" s="7" t="inlineStr">
        <is>
          <t>Targets 'san antonio matchmaker', which /san-antonio-matchmaker owns. Improve the landing page instead.</t>
        </is>
      </c>
    </row>
    <row r="16">
      <c r="A16" s="7" t="n">
        <v>15</v>
      </c>
      <c r="B16" s="7" t="inlineStr">
        <is>
          <t>1</t>
        </is>
      </c>
      <c r="C16" s="7" t="inlineStr">
        <is>
          <t>New market</t>
        </is>
      </c>
      <c r="D16" s="7" t="inlineStr">
        <is>
          <t>Is Matchmaking Worth It in San Antonio?</t>
        </is>
      </c>
      <c r="E16" s="7" t="inlineStr">
        <is>
          <t>san antonio matchmaker</t>
        </is>
      </c>
      <c r="F16" s="16" t="inlineStr">
        <is>
          <t>Owned</t>
        </is>
      </c>
      <c r="G16" s="7" t="inlineStr">
        <is>
          <t>Targets 'san antonio matchmaker', which /san-antonio-matchmaker owns. Improve the landing page instead.</t>
        </is>
      </c>
    </row>
    <row r="17">
      <c r="A17" s="7" t="n">
        <v>16</v>
      </c>
      <c r="B17" s="7" t="inlineStr">
        <is>
          <t>1</t>
        </is>
      </c>
      <c r="C17" s="7" t="inlineStr">
        <is>
          <t>New market</t>
        </is>
      </c>
      <c r="D17" s="7" t="inlineStr">
        <is>
          <t>New Braunfels Matchmaker: How the Right Firm Narrows Your Pool</t>
        </is>
      </c>
      <c r="E17" s="7" t="inlineStr">
        <is>
          <t>new braunfels matchmaker</t>
        </is>
      </c>
      <c r="F17" s="10" t="inlineStr">
        <is>
          <t>Already live</t>
        </is>
      </c>
      <c r="G17" s="7" t="inlineStr">
        <is>
          <t>Covered by live post 18730</t>
        </is>
      </c>
    </row>
    <row r="18">
      <c r="A18" s="7" t="n">
        <v>17</v>
      </c>
      <c r="B18" s="7" t="inlineStr">
        <is>
          <t>1</t>
        </is>
      </c>
      <c r="C18" s="7" t="inlineStr">
        <is>
          <t>New market</t>
        </is>
      </c>
      <c r="D18" s="7" t="inlineStr">
        <is>
          <t>Finding a Matchmaker in New Braunfels You Can Trust</t>
        </is>
      </c>
      <c r="E18" s="7" t="inlineStr">
        <is>
          <t>new braunfels matchmaker</t>
        </is>
      </c>
      <c r="F18" s="10" t="inlineStr">
        <is>
          <t>Already live</t>
        </is>
      </c>
      <c r="G18" s="7" t="inlineStr">
        <is>
          <t>Covered by live post 18730</t>
        </is>
      </c>
    </row>
    <row r="19">
      <c r="A19" s="7" t="n">
        <v>18</v>
      </c>
      <c r="B19" s="7" t="inlineStr">
        <is>
          <t>1</t>
        </is>
      </c>
      <c r="C19" s="7" t="inlineStr">
        <is>
          <t>New market</t>
        </is>
      </c>
      <c r="D19" s="7" t="inlineStr">
        <is>
          <t>Palm Beach Matchmaker: Who It Suits, and Who It Does Not</t>
        </is>
      </c>
      <c r="E19" s="7" t="inlineStr">
        <is>
          <t>palm beach matchmaker</t>
        </is>
      </c>
      <c r="F19" s="9" t="inlineStr">
        <is>
          <t>Month 1</t>
        </is>
      </c>
      <c r="G19" s="7" t="inlineStr">
        <is>
          <t>Month 1 row 1</t>
        </is>
      </c>
    </row>
    <row r="20">
      <c r="A20" s="7" t="n">
        <v>19</v>
      </c>
      <c r="B20" s="7" t="inlineStr">
        <is>
          <t>1</t>
        </is>
      </c>
      <c r="C20" s="7" t="inlineStr">
        <is>
          <t>New market</t>
        </is>
      </c>
      <c r="D20" s="7" t="inlineStr">
        <is>
          <t>How a Palm Beach Matchmaker Sources People You Will Not Meet Otherwise</t>
        </is>
      </c>
      <c r="E20" s="7" t="inlineStr">
        <is>
          <t>palm beach matchmaker</t>
        </is>
      </c>
      <c r="F20" s="9" t="inlineStr">
        <is>
          <t>Month 1</t>
        </is>
      </c>
      <c r="G20" s="7" t="inlineStr">
        <is>
          <t>Month 1 row 1</t>
        </is>
      </c>
    </row>
    <row r="21">
      <c r="A21" s="7" t="n">
        <v>20</v>
      </c>
      <c r="B21" s="7" t="inlineStr">
        <is>
          <t>1</t>
        </is>
      </c>
      <c r="C21" s="7" t="inlineStr">
        <is>
          <t>New market</t>
        </is>
      </c>
      <c r="D21" s="7" t="inlineStr">
        <is>
          <t>Orange County Matchmaker: What the First Consultation Covers</t>
        </is>
      </c>
      <c r="E21" s="7" t="inlineStr">
        <is>
          <t>orange county matchmaker</t>
        </is>
      </c>
      <c r="F21" s="9" t="inlineStr">
        <is>
          <t>Month 1</t>
        </is>
      </c>
      <c r="G21" s="7" t="inlineStr">
        <is>
          <t>Month 1 row 41</t>
        </is>
      </c>
    </row>
    <row r="22">
      <c r="A22" s="7" t="n">
        <v>21</v>
      </c>
      <c r="B22" s="7" t="inlineStr">
        <is>
          <t>1</t>
        </is>
      </c>
      <c r="C22" s="7" t="inlineStr">
        <is>
          <t>New market</t>
        </is>
      </c>
      <c r="D22" s="7" t="inlineStr">
        <is>
          <t>Orange County Matchmaker for People Who Travel Constantly</t>
        </is>
      </c>
      <c r="E22" s="7" t="inlineStr">
        <is>
          <t>orange county matchmaker</t>
        </is>
      </c>
      <c r="F22" s="9" t="inlineStr">
        <is>
          <t>Month 1</t>
        </is>
      </c>
      <c r="G22" s="7" t="inlineStr">
        <is>
          <t>Month 1 row 41</t>
        </is>
      </c>
    </row>
    <row r="23">
      <c r="A23" s="7" t="n">
        <v>22</v>
      </c>
      <c r="B23" s="7" t="inlineStr">
        <is>
          <t>1</t>
        </is>
      </c>
      <c r="C23" s="7" t="inlineStr">
        <is>
          <t>New market</t>
        </is>
      </c>
      <c r="D23" s="7" t="inlineStr">
        <is>
          <t>What a NYC Matchmaker Can and Cannot Promise You</t>
        </is>
      </c>
      <c r="E23" s="7" t="inlineStr">
        <is>
          <t>nyc matchmaker</t>
        </is>
      </c>
      <c r="F23" s="16" t="inlineStr">
        <is>
          <t>Owned</t>
        </is>
      </c>
      <c r="G23" s="7" t="inlineStr">
        <is>
          <t>Targets 'nyc matchmaker', which /new-york-matchmaker owns. Improve the landing page instead.</t>
        </is>
      </c>
    </row>
    <row r="24">
      <c r="A24" s="7" t="n">
        <v>23</v>
      </c>
      <c r="B24" s="7" t="inlineStr">
        <is>
          <t>1</t>
        </is>
      </c>
      <c r="C24" s="7" t="inlineStr">
        <is>
          <t>New market</t>
        </is>
      </c>
      <c r="D24" s="7" t="inlineStr">
        <is>
          <t>NYC Matchmaker: How Introductions Are Vetted Before You Meet</t>
        </is>
      </c>
      <c r="E24" s="7" t="inlineStr">
        <is>
          <t>nyc matchmaker</t>
        </is>
      </c>
      <c r="F24" s="16" t="inlineStr">
        <is>
          <t>Owned</t>
        </is>
      </c>
      <c r="G24" s="7" t="inlineStr">
        <is>
          <t>Targets 'nyc matchmaker', which /new-york-matchmaker owns. Improve the landing page instead.</t>
        </is>
      </c>
    </row>
    <row r="25">
      <c r="A25" s="7" t="n">
        <v>24</v>
      </c>
      <c r="B25" s="7" t="inlineStr">
        <is>
          <t>1</t>
        </is>
      </c>
      <c r="C25" s="7" t="inlineStr">
        <is>
          <t>New market</t>
        </is>
      </c>
      <c r="D25" s="7" t="inlineStr">
        <is>
          <t>Las Vegas Matchmaker for Second Marriages and Later Starts</t>
        </is>
      </c>
      <c r="E25" s="7" t="inlineStr">
        <is>
          <t>las vegas matchmaker</t>
        </is>
      </c>
      <c r="F25" s="10" t="inlineStr">
        <is>
          <t>Already live</t>
        </is>
      </c>
      <c r="G25" s="7" t="inlineStr">
        <is>
          <t>Covered by live post 18720</t>
        </is>
      </c>
    </row>
    <row r="26">
      <c r="A26" s="7" t="n">
        <v>25</v>
      </c>
      <c r="B26" s="7" t="inlineStr">
        <is>
          <t>1</t>
        </is>
      </c>
      <c r="C26" s="7" t="inlineStr">
        <is>
          <t>New market</t>
        </is>
      </c>
      <c r="D26" s="7" t="inlineStr">
        <is>
          <t>How a Las Vegas Matchmaker Handles Privacy in a Small Circle</t>
        </is>
      </c>
      <c r="E26" s="7" t="inlineStr">
        <is>
          <t>las vegas matchmaker</t>
        </is>
      </c>
      <c r="F26" s="10" t="inlineStr">
        <is>
          <t>Already live</t>
        </is>
      </c>
      <c r="G26" s="7" t="inlineStr">
        <is>
          <t>Covered by live post 18720</t>
        </is>
      </c>
    </row>
    <row r="27">
      <c r="A27" s="7" t="n">
        <v>26</v>
      </c>
      <c r="B27" s="7" t="inlineStr">
        <is>
          <t>1</t>
        </is>
      </c>
      <c r="C27" s="7" t="inlineStr">
        <is>
          <t>New market</t>
        </is>
      </c>
      <c r="D27" s="7" t="inlineStr">
        <is>
          <t>St Louis Matchmaker: The Fee, and the One Habit That Lowers It</t>
        </is>
      </c>
      <c r="E27" s="7" t="inlineStr">
        <is>
          <t>st louis matchmaker</t>
        </is>
      </c>
      <c r="F27" s="10" t="inlineStr">
        <is>
          <t>Already live</t>
        </is>
      </c>
      <c r="G27" s="7" t="inlineStr">
        <is>
          <t>Covered by live post 18722</t>
        </is>
      </c>
    </row>
    <row r="28">
      <c r="A28" s="7" t="n">
        <v>27</v>
      </c>
      <c r="B28" s="7" t="inlineStr">
        <is>
          <t>1</t>
        </is>
      </c>
      <c r="C28" s="7" t="inlineStr">
        <is>
          <t>New market</t>
        </is>
      </c>
      <c r="D28" s="7" t="inlineStr">
        <is>
          <t>Why St Louis Professionals Stop Swiping and Start Delegating</t>
        </is>
      </c>
      <c r="E28" s="7" t="inlineStr">
        <is>
          <t>st louis matchmaker</t>
        </is>
      </c>
      <c r="F28" s="10" t="inlineStr">
        <is>
          <t>Already live</t>
        </is>
      </c>
      <c r="G28" s="7" t="inlineStr">
        <is>
          <t>Covered by live post 18722</t>
        </is>
      </c>
    </row>
    <row r="29">
      <c r="A29" s="7" t="n">
        <v>28</v>
      </c>
      <c r="B29" s="7" t="inlineStr">
        <is>
          <t>1</t>
        </is>
      </c>
      <c r="C29" s="7" t="inlineStr">
        <is>
          <t>New market</t>
        </is>
      </c>
      <c r="D29" s="7" t="inlineStr">
        <is>
          <t>Jacksonville Matchmaker: The Case for Someone Else Doing the Looking</t>
        </is>
      </c>
      <c r="E29" s="7" t="inlineStr">
        <is>
          <t>jacksonville matchmaker</t>
        </is>
      </c>
      <c r="F29" s="16" t="inlineStr">
        <is>
          <t>Owned</t>
        </is>
      </c>
      <c r="G29" s="7" t="inlineStr">
        <is>
          <t>Targets 'jacksonville matchmaker', which /jacksonville-matchmaker owns. Improve the landing page instead.</t>
        </is>
      </c>
    </row>
    <row r="30">
      <c r="A30" s="7" t="n">
        <v>29</v>
      </c>
      <c r="B30" s="7" t="inlineStr">
        <is>
          <t>1</t>
        </is>
      </c>
      <c r="C30" s="7" t="inlineStr">
        <is>
          <t>New market</t>
        </is>
      </c>
      <c r="D30" s="7" t="inlineStr">
        <is>
          <t>What Changes When a Jacksonville Search Is Run for You</t>
        </is>
      </c>
      <c r="E30" s="7" t="inlineStr">
        <is>
          <t>jacksonville matchmaker</t>
        </is>
      </c>
      <c r="F30" s="16" t="inlineStr">
        <is>
          <t>Owned</t>
        </is>
      </c>
      <c r="G30" s="7" t="inlineStr">
        <is>
          <t>Targets 'jacksonville matchmaker', which /jacksonville-matchmaker owns. Improve the landing page instead.</t>
        </is>
      </c>
    </row>
    <row r="31">
      <c r="A31" s="7" t="n">
        <v>30</v>
      </c>
      <c r="B31" s="7" t="inlineStr">
        <is>
          <t>1</t>
        </is>
      </c>
      <c r="C31" s="7" t="inlineStr">
        <is>
          <t>New market</t>
        </is>
      </c>
      <c r="D31" s="7" t="inlineStr">
        <is>
          <t>Portland Matchmaker: Fewer Introductions, Better Ones</t>
        </is>
      </c>
      <c r="E31" s="7" t="inlineStr">
        <is>
          <t>portland matchmaker</t>
        </is>
      </c>
      <c r="F31" s="16" t="inlineStr">
        <is>
          <t>Owned</t>
        </is>
      </c>
      <c r="G31" s="7" t="inlineStr">
        <is>
          <t>Targets 'portland matchmaker', which /portland-matchmaker owns. Improve the landing page instead.</t>
        </is>
      </c>
    </row>
    <row r="32">
      <c r="A32" s="7" t="n">
        <v>31</v>
      </c>
      <c r="B32" s="7" t="inlineStr">
        <is>
          <t>1</t>
        </is>
      </c>
      <c r="C32" s="7" t="inlineStr">
        <is>
          <t>New market</t>
        </is>
      </c>
      <c r="D32" s="7" t="inlineStr">
        <is>
          <t>How Matchmaking Works in Portland, Step by Step</t>
        </is>
      </c>
      <c r="E32" s="7" t="inlineStr">
        <is>
          <t>portland matchmaker</t>
        </is>
      </c>
      <c r="F32" s="16" t="inlineStr">
        <is>
          <t>Owned</t>
        </is>
      </c>
      <c r="G32" s="7" t="inlineStr">
        <is>
          <t>Targets 'portland matchmaker', which /portland-matchmaker owns. Improve the landing page instead.</t>
        </is>
      </c>
    </row>
    <row r="33">
      <c r="A33" s="7" t="n">
        <v>32</v>
      </c>
      <c r="B33" s="7" t="inlineStr">
        <is>
          <t>1</t>
        </is>
      </c>
      <c r="C33" s="7" t="inlineStr">
        <is>
          <t>New market</t>
        </is>
      </c>
      <c r="D33" s="7" t="inlineStr">
        <is>
          <t>Kansas City Matchmaker: Reading the Contract Before You Sign</t>
        </is>
      </c>
      <c r="E33" s="7" t="inlineStr">
        <is>
          <t>kansas city matchmaker</t>
        </is>
      </c>
      <c r="F33" s="16" t="inlineStr">
        <is>
          <t>Owned</t>
        </is>
      </c>
      <c r="G33" s="7" t="inlineStr">
        <is>
          <t>Targets 'kansas city matchmaker', which /kansas-city-matchmaker owns. Improve the landing page instead.</t>
        </is>
      </c>
    </row>
    <row r="34">
      <c r="A34" s="7" t="n">
        <v>33</v>
      </c>
      <c r="B34" s="7" t="inlineStr">
        <is>
          <t>1</t>
        </is>
      </c>
      <c r="C34" s="7" t="inlineStr">
        <is>
          <t>New market</t>
        </is>
      </c>
      <c r="D34" s="7" t="inlineStr">
        <is>
          <t>Meeting Someone in Kansas City Without a Public Profile</t>
        </is>
      </c>
      <c r="E34" s="7" t="inlineStr">
        <is>
          <t>kansas city matchmaker</t>
        </is>
      </c>
      <c r="F34" s="16" t="inlineStr">
        <is>
          <t>Owned</t>
        </is>
      </c>
      <c r="G34" s="7" t="inlineStr">
        <is>
          <t>Targets 'kansas city matchmaker', which /kansas-city-matchmaker owns. Improve the landing page instead.</t>
        </is>
      </c>
    </row>
    <row r="35">
      <c r="A35" s="7" t="n">
        <v>34</v>
      </c>
      <c r="B35" s="7" t="inlineStr">
        <is>
          <t>1</t>
        </is>
      </c>
      <c r="C35" s="7" t="inlineStr">
        <is>
          <t>New market</t>
        </is>
      </c>
      <c r="D35" s="7" t="inlineStr">
        <is>
          <t>Maryland Matchmaker: What Background Checks Actually Cover</t>
        </is>
      </c>
      <c r="E35" s="7" t="inlineStr">
        <is>
          <t>maryland matchmaker</t>
        </is>
      </c>
      <c r="F35" s="16" t="inlineStr">
        <is>
          <t>Owned</t>
        </is>
      </c>
      <c r="G35" s="7" t="inlineStr">
        <is>
          <t>Targets 'maryland matchmaker', which /maryland-matchmaker owns. Improve the landing page instead.</t>
        </is>
      </c>
    </row>
    <row r="36">
      <c r="A36" s="7" t="n">
        <v>35</v>
      </c>
      <c r="B36" s="7" t="inlineStr">
        <is>
          <t>1</t>
        </is>
      </c>
      <c r="C36" s="7" t="inlineStr">
        <is>
          <t>New market</t>
        </is>
      </c>
      <c r="D36" s="7" t="inlineStr">
        <is>
          <t>How Far a Maryland Matchmaker Should Search for You</t>
        </is>
      </c>
      <c r="E36" s="7" t="inlineStr">
        <is>
          <t>maryland matchmaker</t>
        </is>
      </c>
      <c r="F36" s="16" t="inlineStr">
        <is>
          <t>Owned</t>
        </is>
      </c>
      <c r="G36" s="7" t="inlineStr">
        <is>
          <t>Targets 'maryland matchmaker', which /maryland-matchmaker owns. Improve the landing page instead.</t>
        </is>
      </c>
    </row>
    <row r="37">
      <c r="A37" s="7" t="n">
        <v>36</v>
      </c>
      <c r="B37" s="7" t="inlineStr">
        <is>
          <t>1</t>
        </is>
      </c>
      <c r="C37" s="7" t="inlineStr">
        <is>
          <t>New market</t>
        </is>
      </c>
      <c r="D37" s="7" t="inlineStr">
        <is>
          <t>Indianapolis Matchmaker: The Timeline From First Call to First Date</t>
        </is>
      </c>
      <c r="E37" s="7" t="inlineStr">
        <is>
          <t>indianapolis matchmaker</t>
        </is>
      </c>
      <c r="F37" s="16" t="inlineStr">
        <is>
          <t>Owned</t>
        </is>
      </c>
      <c r="G37" s="7" t="inlineStr">
        <is>
          <t>Targets 'indianapolis matchmaker', which /indianapolis-matchmaker owns. Improve the landing page instead.</t>
        </is>
      </c>
    </row>
    <row r="38">
      <c r="A38" s="7" t="n">
        <v>37</v>
      </c>
      <c r="B38" s="7" t="inlineStr">
        <is>
          <t>1</t>
        </is>
      </c>
      <c r="C38" s="7" t="inlineStr">
        <is>
          <t>New market</t>
        </is>
      </c>
      <c r="D38" s="7" t="inlineStr">
        <is>
          <t>Why a Small Indianapolis Dating Pool Is Not the Problem</t>
        </is>
      </c>
      <c r="E38" s="7" t="inlineStr">
        <is>
          <t>indianapolis matchmaker</t>
        </is>
      </c>
      <c r="F38" s="16" t="inlineStr">
        <is>
          <t>Owned</t>
        </is>
      </c>
      <c r="G38" s="7" t="inlineStr">
        <is>
          <t>Targets 'indianapolis matchmaker', which /indianapolis-matchmaker owns. Improve the landing page instead.</t>
        </is>
      </c>
    </row>
    <row r="39">
      <c r="A39" s="7" t="n">
        <v>38</v>
      </c>
      <c r="B39" s="7" t="inlineStr">
        <is>
          <t>1</t>
        </is>
      </c>
      <c r="C39" s="7" t="inlineStr">
        <is>
          <t>New market</t>
        </is>
      </c>
      <c r="D39" s="7" t="inlineStr">
        <is>
          <t>Ohio Matchmaker: What Happens After an Introduction</t>
        </is>
      </c>
      <c r="E39" s="7" t="inlineStr">
        <is>
          <t>ohio matchmaker</t>
        </is>
      </c>
      <c r="F39" s="16" t="inlineStr">
        <is>
          <t>Owned</t>
        </is>
      </c>
      <c r="G39" s="7" t="inlineStr">
        <is>
          <t>Targets 'ohio matchmaker', which /ohio-matchmaker owns. Improve the landing page instead.</t>
        </is>
      </c>
    </row>
    <row r="40">
      <c r="A40" s="7" t="n">
        <v>39</v>
      </c>
      <c r="B40" s="7" t="inlineStr">
        <is>
          <t>1</t>
        </is>
      </c>
      <c r="C40" s="7" t="inlineStr">
        <is>
          <t>New market</t>
        </is>
      </c>
      <c r="D40" s="7" t="inlineStr">
        <is>
          <t>Choosing Between Cape Coral Matchmakers: What Actually Differs</t>
        </is>
      </c>
      <c r="E40" s="7" t="inlineStr">
        <is>
          <t>cape coral matchmaker</t>
        </is>
      </c>
      <c r="F40" s="16" t="inlineStr">
        <is>
          <t>Owned</t>
        </is>
      </c>
      <c r="G40" s="7" t="inlineStr">
        <is>
          <t>The Fort Myers page ranks ~7 for Cape Coral. Add a section there.</t>
        </is>
      </c>
    </row>
    <row r="41">
      <c r="A41" s="7" t="n">
        <v>40</v>
      </c>
      <c r="B41" s="7" t="inlineStr">
        <is>
          <t>1</t>
        </is>
      </c>
      <c r="C41" s="7" t="inlineStr">
        <is>
          <t>New market</t>
        </is>
      </c>
      <c r="D41" s="7" t="inlineStr">
        <is>
          <t>Connecticut Matchmaker for Founders and Business Owners</t>
        </is>
      </c>
      <c r="E41" s="7" t="inlineStr">
        <is>
          <t>connecticut matchmaker</t>
        </is>
      </c>
      <c r="F41" s="16" t="inlineStr">
        <is>
          <t>Owned</t>
        </is>
      </c>
      <c r="G41" s="7" t="inlineStr">
        <is>
          <t>Targets 'connecticut matchmaker', which /connecticut-matchmaker owns. Improve the landing page instead.</t>
        </is>
      </c>
    </row>
    <row r="42">
      <c r="A42" s="7" t="n">
        <v>41</v>
      </c>
      <c r="B42" s="7" t="inlineStr">
        <is>
          <t>1</t>
        </is>
      </c>
      <c r="C42" s="7" t="inlineStr">
        <is>
          <t>Service / head term</t>
        </is>
      </c>
      <c r="D42" s="7" t="inlineStr">
        <is>
          <t>What a Matchmaker Actually Does, Start to Finish</t>
        </is>
      </c>
      <c r="E42" s="7" t="inlineStr">
        <is>
          <t>matchmaker</t>
        </is>
      </c>
      <c r="F42" s="10" t="inlineStr">
        <is>
          <t>Already live</t>
        </is>
      </c>
      <c r="G42" s="7" t="inlineStr">
        <is>
          <t>Covered by live post 18595</t>
        </is>
      </c>
    </row>
    <row r="43">
      <c r="A43" s="7" t="n">
        <v>42</v>
      </c>
      <c r="B43" s="7" t="inlineStr">
        <is>
          <t>1</t>
        </is>
      </c>
      <c r="C43" s="7" t="inlineStr">
        <is>
          <t>Service / head term</t>
        </is>
      </c>
      <c r="D43" s="7" t="inlineStr">
        <is>
          <t>Where Relationship-Minded Professionals Actually Meet Now</t>
        </is>
      </c>
      <c r="E43" s="7" t="inlineStr">
        <is>
          <t>meet professional singles</t>
        </is>
      </c>
      <c r="F43" s="10" t="inlineStr">
        <is>
          <t>Already live</t>
        </is>
      </c>
      <c r="G43" s="7" t="inlineStr">
        <is>
          <t>Covered by live post 18707</t>
        </is>
      </c>
    </row>
    <row r="44">
      <c r="A44" s="7" t="n">
        <v>43</v>
      </c>
      <c r="B44" s="7" t="inlineStr">
        <is>
          <t>1</t>
        </is>
      </c>
      <c r="C44" s="7" t="inlineStr">
        <is>
          <t>Service / head term</t>
        </is>
      </c>
      <c r="D44" s="7" t="inlineStr">
        <is>
          <t>Matchmaking, Defined: The Terms Firms Use and What They Mean</t>
        </is>
      </c>
      <c r="E44" s="7" t="inlineStr">
        <is>
          <t>matchmakes</t>
        </is>
      </c>
      <c r="F44" s="10" t="inlineStr">
        <is>
          <t>Already live</t>
        </is>
      </c>
      <c r="G44" s="7" t="inlineStr">
        <is>
          <t>Covered by live post 18595</t>
        </is>
      </c>
    </row>
    <row r="45">
      <c r="A45" s="7" t="n">
        <v>44</v>
      </c>
      <c r="B45" s="7" t="inlineStr">
        <is>
          <t>1</t>
        </is>
      </c>
      <c r="C45" s="7" t="inlineStr">
        <is>
          <t>Service / head term</t>
        </is>
      </c>
      <c r="D45" s="7" t="inlineStr">
        <is>
          <t>Hiring a Matchmaker: The Questions That Separate Firms</t>
        </is>
      </c>
      <c r="E45" s="7" t="inlineStr">
        <is>
          <t>hiring a matchmaker</t>
        </is>
      </c>
      <c r="F45" s="10" t="inlineStr">
        <is>
          <t>Already live</t>
        </is>
      </c>
      <c r="G45" s="7" t="inlineStr">
        <is>
          <t>Covered by live post 18581</t>
        </is>
      </c>
    </row>
    <row r="46">
      <c r="A46" s="7" t="n">
        <v>45</v>
      </c>
      <c r="B46" s="7" t="inlineStr">
        <is>
          <t>2</t>
        </is>
      </c>
      <c r="C46" s="7" t="inlineStr">
        <is>
          <t>Refresh: client's older post</t>
        </is>
      </c>
      <c r="D46" s="7" t="inlineStr">
        <is>
          <t>REFRESH: Why Master Matchmakers Is The Best Matchmaker In San Francisco</t>
        </is>
      </c>
      <c r="E46" s="7" t="inlineStr">
        <is>
          <t>top+san+francisco+matchmaker</t>
        </is>
      </c>
      <c r="F46" s="15" t="inlineStr">
        <is>
          <t>Refresh</t>
        </is>
      </c>
      <c r="G46" s="7" t="inlineStr">
        <is>
          <t>Refreshes tab (outside the 60)</t>
        </is>
      </c>
    </row>
    <row r="47">
      <c r="A47" s="7" t="n">
        <v>46</v>
      </c>
      <c r="B47" s="7" t="inlineStr">
        <is>
          <t>2</t>
        </is>
      </c>
      <c r="C47" s="7" t="inlineStr">
        <is>
          <t>Refresh: client's older post</t>
        </is>
      </c>
      <c r="D47" s="7" t="inlineStr">
        <is>
          <t>REFRESH: Jacksonville Dating For Professionals A Practical Guide To Finding Love On The First Coast</t>
        </is>
      </c>
      <c r="E47" s="7" t="inlineStr">
        <is>
          <t>jacksonville matchmakers</t>
        </is>
      </c>
      <c r="F47" s="15" t="inlineStr">
        <is>
          <t>Refresh</t>
        </is>
      </c>
      <c r="G47" s="7" t="inlineStr">
        <is>
          <t>Refreshes tab (outside the 60)</t>
        </is>
      </c>
    </row>
    <row r="48">
      <c r="A48" s="7" t="n">
        <v>47</v>
      </c>
      <c r="B48" s="7" t="inlineStr">
        <is>
          <t>2</t>
        </is>
      </c>
      <c r="C48" s="7" t="inlineStr">
        <is>
          <t>Reddit market</t>
        </is>
      </c>
      <c r="D48" s="7" t="inlineStr">
        <is>
          <t>Back Bay Matchmaker: Introductions Without the Wider Boston Pool</t>
        </is>
      </c>
      <c r="E48" s="7" t="inlineStr">
        <is>
          <t>boston matchmaker</t>
        </is>
      </c>
      <c r="F48" s="16" t="inlineStr">
        <is>
          <t>Owned</t>
        </is>
      </c>
      <c r="G48" s="7" t="inlineStr">
        <is>
          <t>The Massachusetts page ranks ~7 for Back Bay / Wellesley.</t>
        </is>
      </c>
    </row>
    <row r="49">
      <c r="A49" s="7" t="n">
        <v>48</v>
      </c>
      <c r="B49" s="7" t="inlineStr">
        <is>
          <t>2</t>
        </is>
      </c>
      <c r="C49" s="7" t="inlineStr">
        <is>
          <t>Reddit market</t>
        </is>
      </c>
      <c r="D49" s="7" t="inlineStr">
        <is>
          <t>What Moves a Boston Matchmaker's Fee, and What Does Not</t>
        </is>
      </c>
      <c r="E49" s="7" t="inlineStr">
        <is>
          <t>boston matchmaker</t>
        </is>
      </c>
      <c r="F49" s="16" t="inlineStr">
        <is>
          <t>Owned</t>
        </is>
      </c>
      <c r="G49" s="7" t="inlineStr">
        <is>
          <t>Targets 'boston matchmaker', which /boston-matchmaker owns. Improve the landing page instead.</t>
        </is>
      </c>
    </row>
    <row r="50">
      <c r="A50" s="7" t="n">
        <v>49</v>
      </c>
      <c r="B50" s="7" t="inlineStr">
        <is>
          <t>2</t>
        </is>
      </c>
      <c r="C50" s="7" t="inlineStr">
        <is>
          <t>Reddit market</t>
        </is>
      </c>
      <c r="D50" s="7" t="inlineStr">
        <is>
          <t>Boston Matchmaker for Executives Who Cannot Date on a Schedule</t>
        </is>
      </c>
      <c r="E50" s="7" t="inlineStr">
        <is>
          <t>boston matchmaker</t>
        </is>
      </c>
      <c r="F50" s="16" t="inlineStr">
        <is>
          <t>Owned</t>
        </is>
      </c>
      <c r="G50" s="7" t="inlineStr">
        <is>
          <t>Targets 'boston matchmaker', which /boston-matchmaker owns. Improve the landing page instead.</t>
        </is>
      </c>
    </row>
    <row r="51">
      <c r="A51" s="7" t="n">
        <v>50</v>
      </c>
      <c r="B51" s="7" t="inlineStr">
        <is>
          <t>2</t>
        </is>
      </c>
      <c r="C51" s="7" t="inlineStr">
        <is>
          <t>Reddit market</t>
        </is>
      </c>
      <c r="D51" s="7" t="inlineStr">
        <is>
          <t>Wellesley Matchmaker: A Search That Stays Local</t>
        </is>
      </c>
      <c r="E51" s="7" t="inlineStr">
        <is>
          <t>boston matchmaker</t>
        </is>
      </c>
      <c r="F51" s="16" t="inlineStr">
        <is>
          <t>Owned</t>
        </is>
      </c>
      <c r="G51" s="7" t="inlineStr">
        <is>
          <t>Same as Q2 #47.</t>
        </is>
      </c>
    </row>
    <row r="52">
      <c r="A52" s="7" t="n">
        <v>51</v>
      </c>
      <c r="B52" s="7" t="inlineStr">
        <is>
          <t>2</t>
        </is>
      </c>
      <c r="C52" s="7" t="inlineStr">
        <is>
          <t>Reddit market</t>
        </is>
      </c>
      <c r="D52" s="7" t="inlineStr">
        <is>
          <t>How Boston Matchmakers Screen the People They Introduce</t>
        </is>
      </c>
      <c r="E52" s="7" t="inlineStr">
        <is>
          <t>boston matchmaker</t>
        </is>
      </c>
      <c r="F52" s="16" t="inlineStr">
        <is>
          <t>Owned</t>
        </is>
      </c>
      <c r="G52" s="7" t="inlineStr">
        <is>
          <t>Targets 'boston matchmaker', which /boston-matchmaker owns. Improve the landing page instead.</t>
        </is>
      </c>
    </row>
    <row r="53">
      <c r="A53" s="7" t="n">
        <v>52</v>
      </c>
      <c r="B53" s="7" t="inlineStr">
        <is>
          <t>2</t>
        </is>
      </c>
      <c r="C53" s="7" t="inlineStr">
        <is>
          <t>Reddit market</t>
        </is>
      </c>
      <c r="D53" s="7" t="inlineStr">
        <is>
          <t>North Shore Matchmaker: Introductions Without the Wider Chicago Pool</t>
        </is>
      </c>
      <c r="E53" s="7" t="inlineStr">
        <is>
          <t>chicago matchmaker</t>
        </is>
      </c>
      <c r="F53" s="15" t="inlineStr">
        <is>
          <t>Pipeline</t>
        </is>
      </c>
      <c r="G53" s="7" t="inlineStr">
        <is>
          <t>Months 2-3 pipeline: North Shore / Naperville</t>
        </is>
      </c>
    </row>
    <row r="54">
      <c r="A54" s="7" t="n">
        <v>53</v>
      </c>
      <c r="B54" s="7" t="inlineStr">
        <is>
          <t>2</t>
        </is>
      </c>
      <c r="C54" s="7" t="inlineStr">
        <is>
          <t>Reddit market</t>
        </is>
      </c>
      <c r="D54" s="7" t="inlineStr">
        <is>
          <t>What Moves a Chicago Matchmaker's Fee, and What Does Not</t>
        </is>
      </c>
      <c r="E54" s="7" t="inlineStr">
        <is>
          <t>chicago matchmaker</t>
        </is>
      </c>
      <c r="F54" s="16" t="inlineStr">
        <is>
          <t>Owned</t>
        </is>
      </c>
      <c r="G54" s="7" t="inlineStr">
        <is>
          <t>Targets 'chicago matchmaker', which /chicago-matchmaker owns. Improve the landing page instead.</t>
        </is>
      </c>
    </row>
    <row r="55">
      <c r="A55" s="7" t="n">
        <v>54</v>
      </c>
      <c r="B55" s="7" t="inlineStr">
        <is>
          <t>2</t>
        </is>
      </c>
      <c r="C55" s="7" t="inlineStr">
        <is>
          <t>Reddit market</t>
        </is>
      </c>
      <c r="D55" s="7" t="inlineStr">
        <is>
          <t>Chicago Matchmaker for Executives Who Cannot Date on a Schedule</t>
        </is>
      </c>
      <c r="E55" s="7" t="inlineStr">
        <is>
          <t>chicago matchmaker</t>
        </is>
      </c>
      <c r="F55" s="16" t="inlineStr">
        <is>
          <t>Owned</t>
        </is>
      </c>
      <c r="G55" s="7" t="inlineStr">
        <is>
          <t>Targets 'chicago matchmaker', which /chicago-matchmaker owns. Improve the landing page instead.</t>
        </is>
      </c>
    </row>
    <row r="56">
      <c r="A56" s="7" t="n">
        <v>55</v>
      </c>
      <c r="B56" s="7" t="inlineStr">
        <is>
          <t>2</t>
        </is>
      </c>
      <c r="C56" s="7" t="inlineStr">
        <is>
          <t>Reddit market</t>
        </is>
      </c>
      <c r="D56" s="7" t="inlineStr">
        <is>
          <t>Naperville Matchmaker: Introductions Inside a Small Circle</t>
        </is>
      </c>
      <c r="E56" s="7" t="inlineStr">
        <is>
          <t>chicago matchmaker</t>
        </is>
      </c>
      <c r="F56" s="15" t="inlineStr">
        <is>
          <t>Pipeline</t>
        </is>
      </c>
      <c r="G56" s="7" t="inlineStr">
        <is>
          <t>Months 2-3 pipeline: North Shore / Naperville</t>
        </is>
      </c>
    </row>
    <row r="57">
      <c r="A57" s="7" t="n">
        <v>56</v>
      </c>
      <c r="B57" s="7" t="inlineStr">
        <is>
          <t>2</t>
        </is>
      </c>
      <c r="C57" s="7" t="inlineStr">
        <is>
          <t>Reddit market</t>
        </is>
      </c>
      <c r="D57" s="7" t="inlineStr">
        <is>
          <t>How Chicago Matchmakers Screen the People They Introduce</t>
        </is>
      </c>
      <c r="E57" s="7" t="inlineStr">
        <is>
          <t>chicago matchmaker</t>
        </is>
      </c>
      <c r="F57" s="16" t="inlineStr">
        <is>
          <t>Owned</t>
        </is>
      </c>
      <c r="G57" s="7" t="inlineStr">
        <is>
          <t>Targets 'chicago matchmaker', which /chicago-matchmaker owns. Improve the landing page instead.</t>
        </is>
      </c>
    </row>
    <row r="58">
      <c r="A58" s="7" t="n">
        <v>57</v>
      </c>
      <c r="B58" s="7" t="inlineStr">
        <is>
          <t>2</t>
        </is>
      </c>
      <c r="C58" s="7" t="inlineStr">
        <is>
          <t>New market</t>
        </is>
      </c>
      <c r="D58" s="7" t="inlineStr">
        <is>
          <t>What a Orlando Matchmaker Needs to Know About You</t>
        </is>
      </c>
      <c r="E58" s="7" t="inlineStr">
        <is>
          <t>orlando matchmaker</t>
        </is>
      </c>
      <c r="F58" s="16" t="inlineStr">
        <is>
          <t>Owned</t>
        </is>
      </c>
      <c r="G58" s="7" t="inlineStr">
        <is>
          <t>Targets 'orlando matchmaker', which /orlando-matchmaker owns. Improve the landing page instead.</t>
        </is>
      </c>
    </row>
    <row r="59">
      <c r="A59" s="7" t="n">
        <v>58</v>
      </c>
      <c r="B59" s="7" t="inlineStr">
        <is>
          <t>2</t>
        </is>
      </c>
      <c r="C59" s="7" t="inlineStr">
        <is>
          <t>New market</t>
        </is>
      </c>
      <c r="D59" s="7" t="inlineStr">
        <is>
          <t>Orlando Matchmaker: When Coaching Matters More Than Matching</t>
        </is>
      </c>
      <c r="E59" s="7" t="inlineStr">
        <is>
          <t>orlando matchmaker</t>
        </is>
      </c>
      <c r="F59" s="16" t="inlineStr">
        <is>
          <t>Owned</t>
        </is>
      </c>
      <c r="G59" s="7" t="inlineStr">
        <is>
          <t>Targets 'orlando matchmaker', which /orlando-matchmaker owns. Improve the landing page instead.</t>
        </is>
      </c>
    </row>
    <row r="60">
      <c r="A60" s="7" t="n">
        <v>59</v>
      </c>
      <c r="B60" s="7" t="inlineStr">
        <is>
          <t>2</t>
        </is>
      </c>
      <c r="C60" s="7" t="inlineStr">
        <is>
          <t>New market</t>
        </is>
      </c>
      <c r="D60" s="7" t="inlineStr">
        <is>
          <t>How Arizona Singles End Up in the Wrong Search</t>
        </is>
      </c>
      <c r="E60" s="7" t="inlineStr">
        <is>
          <t>arizona matchmaker</t>
        </is>
      </c>
      <c r="F60" s="16" t="inlineStr">
        <is>
          <t>Owned</t>
        </is>
      </c>
      <c r="G60" s="7" t="inlineStr">
        <is>
          <t>Targets 'arizona matchmaker', which /arizona-matchmaker owns. Improve the landing page instead.</t>
        </is>
      </c>
    </row>
    <row r="61">
      <c r="A61" s="7" t="n">
        <v>60</v>
      </c>
      <c r="B61" s="7" t="inlineStr">
        <is>
          <t>2</t>
        </is>
      </c>
      <c r="C61" s="7" t="inlineStr">
        <is>
          <t>New market</t>
        </is>
      </c>
      <c r="D61" s="7" t="inlineStr">
        <is>
          <t>Arizona Matchmaker: The Introductions You Will Not Get on an App</t>
        </is>
      </c>
      <c r="E61" s="7" t="inlineStr">
        <is>
          <t>arizona matchmaker</t>
        </is>
      </c>
      <c r="F61" s="16" t="inlineStr">
        <is>
          <t>Owned</t>
        </is>
      </c>
      <c r="G61" s="7" t="inlineStr">
        <is>
          <t>Targets 'arizona matchmaker', which /arizona-matchmaker owns. Improve the landing page instead.</t>
        </is>
      </c>
    </row>
    <row r="62">
      <c r="A62" s="7" t="n">
        <v>61</v>
      </c>
      <c r="B62" s="7" t="inlineStr">
        <is>
          <t>2</t>
        </is>
      </c>
      <c r="C62" s="7" t="inlineStr">
        <is>
          <t>New market</t>
        </is>
      </c>
      <c r="D62" s="7" t="inlineStr">
        <is>
          <t>What a Serious Texas Search Asks of Your Calendar</t>
        </is>
      </c>
      <c r="E62" s="7" t="inlineStr">
        <is>
          <t>texas matchmaker</t>
        </is>
      </c>
      <c r="F62" s="16" t="inlineStr">
        <is>
          <t>Owned</t>
        </is>
      </c>
      <c r="G62" s="7" t="inlineStr">
        <is>
          <t>Targets 'texas matchmaker', which /texas-matchmaker owns. Improve the landing page instead.</t>
        </is>
      </c>
    </row>
    <row r="63">
      <c r="A63" s="7" t="n">
        <v>62</v>
      </c>
      <c r="B63" s="7" t="inlineStr">
        <is>
          <t>2</t>
        </is>
      </c>
      <c r="C63" s="7" t="inlineStr">
        <is>
          <t>New market</t>
        </is>
      </c>
      <c r="D63" s="7" t="inlineStr">
        <is>
          <t>Texas Matchmaker: What the Search Looks Like Here</t>
        </is>
      </c>
      <c r="E63" s="7" t="inlineStr">
        <is>
          <t>texas matchmaker</t>
        </is>
      </c>
      <c r="F63" s="16" t="inlineStr">
        <is>
          <t>Owned</t>
        </is>
      </c>
      <c r="G63" s="7" t="inlineStr">
        <is>
          <t>Targets 'texas matchmaker', which /texas-matchmaker owns. Improve the landing page instead.</t>
        </is>
      </c>
    </row>
    <row r="64">
      <c r="A64" s="7" t="n">
        <v>63</v>
      </c>
      <c r="B64" s="7" t="inlineStr">
        <is>
          <t>2</t>
        </is>
      </c>
      <c r="C64" s="7" t="inlineStr">
        <is>
          <t>New market</t>
        </is>
      </c>
      <c r="D64" s="7" t="inlineStr">
        <is>
          <t>Hiring a Matchmaker in Colorado: What to Ask First</t>
        </is>
      </c>
      <c r="E64" s="7" t="inlineStr">
        <is>
          <t>colorado matchmaker</t>
        </is>
      </c>
      <c r="F64" s="16" t="inlineStr">
        <is>
          <t>Owned</t>
        </is>
      </c>
      <c r="G64" s="7" t="inlineStr">
        <is>
          <t>Targets 'colorado matchmaker', which /colorado-matchmaker owns. Improve the landing page instead.</t>
        </is>
      </c>
    </row>
    <row r="65">
      <c r="A65" s="7" t="n">
        <v>64</v>
      </c>
      <c r="B65" s="7" t="inlineStr">
        <is>
          <t>2</t>
        </is>
      </c>
      <c r="C65" s="7" t="inlineStr">
        <is>
          <t>New market</t>
        </is>
      </c>
      <c r="D65" s="7" t="inlineStr">
        <is>
          <t>Colorado Matchmaker for Professionals Who Are Done With Apps</t>
        </is>
      </c>
      <c r="E65" s="7" t="inlineStr">
        <is>
          <t>colorado matchmaker</t>
        </is>
      </c>
      <c r="F65" s="16" t="inlineStr">
        <is>
          <t>Owned</t>
        </is>
      </c>
      <c r="G65" s="7" t="inlineStr">
        <is>
          <t>Targets 'colorado matchmaker', which /colorado-matchmaker owns. Improve the landing page instead.</t>
        </is>
      </c>
    </row>
    <row r="66">
      <c r="A66" s="7" t="n">
        <v>65</v>
      </c>
      <c r="B66" s="7" t="inlineStr">
        <is>
          <t>2</t>
        </is>
      </c>
      <c r="C66" s="7" t="inlineStr">
        <is>
          <t>New market</t>
        </is>
      </c>
      <c r="D66" s="7" t="inlineStr">
        <is>
          <t>Santa Barbara Matchmaker: Verified Introductions, Not Blind Dates</t>
        </is>
      </c>
      <c r="E66" s="7" t="inlineStr">
        <is>
          <t>santa barbara matchmaker</t>
        </is>
      </c>
      <c r="F66" s="10" t="inlineStr">
        <is>
          <t>Already live</t>
        </is>
      </c>
      <c r="G66" s="7" t="inlineStr">
        <is>
          <t>Covered by live post 18705</t>
        </is>
      </c>
    </row>
    <row r="67">
      <c r="A67" s="7" t="n">
        <v>66</v>
      </c>
      <c r="B67" s="7" t="inlineStr">
        <is>
          <t>2</t>
        </is>
      </c>
      <c r="C67" s="7" t="inlineStr">
        <is>
          <t>New market</t>
        </is>
      </c>
      <c r="D67" s="7" t="inlineStr">
        <is>
          <t>Is Matchmaking Worth It in Scottsdale?</t>
        </is>
      </c>
      <c r="E67" s="7" t="inlineStr">
        <is>
          <t>scottsdale matchmaker</t>
        </is>
      </c>
      <c r="F67" s="10" t="inlineStr">
        <is>
          <t>Already live</t>
        </is>
      </c>
      <c r="G67" s="7" t="inlineStr">
        <is>
          <t>Covered by live post 18724</t>
        </is>
      </c>
    </row>
    <row r="68">
      <c r="A68" s="7" t="n">
        <v>67</v>
      </c>
      <c r="B68" s="7" t="inlineStr">
        <is>
          <t>2</t>
        </is>
      </c>
      <c r="C68" s="7" t="inlineStr">
        <is>
          <t>New market</t>
        </is>
      </c>
      <c r="D68" s="7" t="inlineStr">
        <is>
          <t>Scottsdale Matchmaker: How the Right Firm Narrows Your Pool</t>
        </is>
      </c>
      <c r="E68" s="7" t="inlineStr">
        <is>
          <t>scottsdale matchmaker</t>
        </is>
      </c>
      <c r="F68" s="10" t="inlineStr">
        <is>
          <t>Already live</t>
        </is>
      </c>
      <c r="G68" s="7" t="inlineStr">
        <is>
          <t>Covered by live post 18724</t>
        </is>
      </c>
    </row>
    <row r="69">
      <c r="A69" s="7" t="n">
        <v>68</v>
      </c>
      <c r="B69" s="7" t="inlineStr">
        <is>
          <t>2</t>
        </is>
      </c>
      <c r="C69" s="7" t="inlineStr">
        <is>
          <t>New market</t>
        </is>
      </c>
      <c r="D69" s="7" t="inlineStr">
        <is>
          <t>Finding a Matchmaker in Cincinnati You Can Trust</t>
        </is>
      </c>
      <c r="E69" s="7" t="inlineStr">
        <is>
          <t>cincinnati matchmaker</t>
        </is>
      </c>
      <c r="F69" s="10" t="inlineStr">
        <is>
          <t>Already live</t>
        </is>
      </c>
      <c r="G69" s="7" t="inlineStr">
        <is>
          <t>Covered by live post 18723</t>
        </is>
      </c>
    </row>
    <row r="70">
      <c r="A70" s="7" t="n">
        <v>69</v>
      </c>
      <c r="B70" s="7" t="inlineStr">
        <is>
          <t>2</t>
        </is>
      </c>
      <c r="C70" s="7" t="inlineStr">
        <is>
          <t>New market</t>
        </is>
      </c>
      <c r="D70" s="7" t="inlineStr">
        <is>
          <t>Cincinnati Matchmaker: Who It Suits, and Who It Does Not</t>
        </is>
      </c>
      <c r="E70" s="7" t="inlineStr">
        <is>
          <t>cincinnati matchmaker</t>
        </is>
      </c>
      <c r="F70" s="10" t="inlineStr">
        <is>
          <t>Already live</t>
        </is>
      </c>
      <c r="G70" s="7" t="inlineStr">
        <is>
          <t>Covered by live post 18723</t>
        </is>
      </c>
    </row>
    <row r="71">
      <c r="A71" s="7" t="n">
        <v>70</v>
      </c>
      <c r="B71" s="7" t="inlineStr">
        <is>
          <t>2</t>
        </is>
      </c>
      <c r="C71" s="7" t="inlineStr">
        <is>
          <t>New market</t>
        </is>
      </c>
      <c r="D71" s="7" t="inlineStr">
        <is>
          <t>How a Cleveland Matchmaker Sources People You Will Not Meet Otherwise</t>
        </is>
      </c>
      <c r="E71" s="7" t="inlineStr">
        <is>
          <t>cleveland matchmaker</t>
        </is>
      </c>
      <c r="F71" s="16" t="inlineStr">
        <is>
          <t>Owned</t>
        </is>
      </c>
      <c r="G71" s="7" t="inlineStr">
        <is>
          <t>The Ohio page ranks ~10 for Cleveland. Add a section there.</t>
        </is>
      </c>
    </row>
    <row r="72">
      <c r="A72" s="7" t="n">
        <v>71</v>
      </c>
      <c r="B72" s="7" t="inlineStr">
        <is>
          <t>2</t>
        </is>
      </c>
      <c r="C72" s="7" t="inlineStr">
        <is>
          <t>New market</t>
        </is>
      </c>
      <c r="D72" s="7" t="inlineStr">
        <is>
          <t>Cleveland Matchmaker: What the First Consultation Covers</t>
        </is>
      </c>
      <c r="E72" s="7" t="inlineStr">
        <is>
          <t>cleveland matchmaker</t>
        </is>
      </c>
      <c r="F72" s="16" t="inlineStr">
        <is>
          <t>Owned</t>
        </is>
      </c>
      <c r="G72" s="7" t="inlineStr">
        <is>
          <t>Same as Q2 #70.</t>
        </is>
      </c>
    </row>
    <row r="73">
      <c r="A73" s="7" t="n">
        <v>72</v>
      </c>
      <c r="B73" s="7" t="inlineStr">
        <is>
          <t>2</t>
        </is>
      </c>
      <c r="C73" s="7" t="inlineStr">
        <is>
          <t>New market</t>
        </is>
      </c>
      <c r="D73" s="7" t="inlineStr">
        <is>
          <t>Salt Lake City Matchmaker for People Who Travel Constantly</t>
        </is>
      </c>
      <c r="E73" s="7" t="inlineStr">
        <is>
          <t>salt lake city matchmaker</t>
        </is>
      </c>
      <c r="F73" s="16" t="inlineStr">
        <is>
          <t>Owned</t>
        </is>
      </c>
      <c r="G73" s="7" t="inlineStr">
        <is>
          <t>Targets 'salt lake city matchmaker', which /salt-lake-city-matchmaker owns. Improve the landing page instead.</t>
        </is>
      </c>
    </row>
    <row r="74">
      <c r="A74" s="7" t="n">
        <v>73</v>
      </c>
      <c r="B74" s="7" t="inlineStr">
        <is>
          <t>2</t>
        </is>
      </c>
      <c r="C74" s="7" t="inlineStr">
        <is>
          <t>New market</t>
        </is>
      </c>
      <c r="D74" s="7" t="inlineStr">
        <is>
          <t>What a Pennsylvania Matchmaker Can and Cannot Promise You</t>
        </is>
      </c>
      <c r="E74" s="7" t="inlineStr">
        <is>
          <t>pennsylvania matchmaker</t>
        </is>
      </c>
      <c r="F74" s="16" t="inlineStr">
        <is>
          <t>Owned</t>
        </is>
      </c>
      <c r="G74" s="7" t="inlineStr">
        <is>
          <t>Targets 'pennsylvania matchmaker', which /pennsylvania-matchmaker owns. Improve the landing page instead.</t>
        </is>
      </c>
    </row>
    <row r="75">
      <c r="A75" s="7" t="n">
        <v>74</v>
      </c>
      <c r="B75" s="7" t="inlineStr">
        <is>
          <t>2</t>
        </is>
      </c>
      <c r="C75" s="7" t="inlineStr">
        <is>
          <t>New market</t>
        </is>
      </c>
      <c r="D75" s="7" t="inlineStr">
        <is>
          <t>Indiana Matchmaker: How Introductions Are Vetted Before You Meet</t>
        </is>
      </c>
      <c r="E75" s="7" t="inlineStr">
        <is>
          <t>indiana matchmaker</t>
        </is>
      </c>
      <c r="F75" s="16" t="inlineStr">
        <is>
          <t>Owned</t>
        </is>
      </c>
      <c r="G75" s="7" t="inlineStr">
        <is>
          <t>Targets 'indiana matchmaker', which /indiana-matchmaker owns. Improve the landing page instead.</t>
        </is>
      </c>
    </row>
    <row r="76">
      <c r="A76" s="7" t="n">
        <v>75</v>
      </c>
      <c r="B76" s="7" t="inlineStr">
        <is>
          <t>2</t>
        </is>
      </c>
      <c r="C76" s="7" t="inlineStr">
        <is>
          <t>New market</t>
        </is>
      </c>
      <c r="D76" s="7" t="inlineStr">
        <is>
          <t>Nashville Matchmaker for Second Marriages and Later Starts</t>
        </is>
      </c>
      <c r="E76" s="7" t="inlineStr">
        <is>
          <t>nashville matchmaker</t>
        </is>
      </c>
      <c r="F76" s="10" t="inlineStr">
        <is>
          <t>Already live</t>
        </is>
      </c>
      <c r="G76" s="7" t="inlineStr">
        <is>
          <t>Covered by live post 18719</t>
        </is>
      </c>
    </row>
    <row r="77">
      <c r="A77" s="7" t="n">
        <v>76</v>
      </c>
      <c r="B77" s="7" t="inlineStr">
        <is>
          <t>2</t>
        </is>
      </c>
      <c r="C77" s="7" t="inlineStr">
        <is>
          <t>New market</t>
        </is>
      </c>
      <c r="D77" s="7" t="inlineStr">
        <is>
          <t>How a Norfolk Matchmaker Handles Privacy in a Small Circle</t>
        </is>
      </c>
      <c r="E77" s="7" t="inlineStr">
        <is>
          <t>norfolk matchmaker</t>
        </is>
      </c>
      <c r="F77" s="9" t="inlineStr">
        <is>
          <t>Month 1</t>
        </is>
      </c>
      <c r="G77" s="7" t="inlineStr">
        <is>
          <t>Month 1 row 48</t>
        </is>
      </c>
    </row>
    <row r="78">
      <c r="A78" s="7" t="n">
        <v>77</v>
      </c>
      <c r="B78" s="7" t="inlineStr">
        <is>
          <t>2</t>
        </is>
      </c>
      <c r="C78" s="7" t="inlineStr">
        <is>
          <t>New market</t>
        </is>
      </c>
      <c r="D78" s="7" t="inlineStr">
        <is>
          <t>Raleigh Matchmaker: The Fee, and the One Habit That Lowers It</t>
        </is>
      </c>
      <c r="E78" s="7" t="inlineStr">
        <is>
          <t>raleigh matchmaker</t>
        </is>
      </c>
      <c r="F78" s="9" t="inlineStr">
        <is>
          <t>Month 1</t>
        </is>
      </c>
      <c r="G78" s="7" t="inlineStr">
        <is>
          <t>Month 1 row 53</t>
        </is>
      </c>
    </row>
    <row r="79">
      <c r="A79" s="7" t="n">
        <v>78</v>
      </c>
      <c r="B79" s="7" t="inlineStr">
        <is>
          <t>2</t>
        </is>
      </c>
      <c r="C79" s="7" t="inlineStr">
        <is>
          <t>New market</t>
        </is>
      </c>
      <c r="D79" s="7" t="inlineStr">
        <is>
          <t>Why Reno Professionals Stop Swiping and Start Delegating</t>
        </is>
      </c>
      <c r="E79" s="7" t="inlineStr">
        <is>
          <t>reno matchmaker</t>
        </is>
      </c>
      <c r="F79" s="9" t="inlineStr">
        <is>
          <t>Month 1</t>
        </is>
      </c>
      <c r="G79" s="7" t="inlineStr">
        <is>
          <t>Month 1 row 57</t>
        </is>
      </c>
    </row>
    <row r="80">
      <c r="A80" s="7" t="n">
        <v>79</v>
      </c>
      <c r="B80" s="7" t="inlineStr">
        <is>
          <t>2</t>
        </is>
      </c>
      <c r="C80" s="7" t="inlineStr">
        <is>
          <t>New market</t>
        </is>
      </c>
      <c r="D80" s="7" t="inlineStr">
        <is>
          <t>Tulsa Matchmaker: The Case for Someone Else Doing the Looking</t>
        </is>
      </c>
      <c r="E80" s="7" t="inlineStr">
        <is>
          <t>tulsa matchmaker</t>
        </is>
      </c>
      <c r="F80" s="9" t="inlineStr">
        <is>
          <t>Month 1</t>
        </is>
      </c>
      <c r="G80" s="7" t="inlineStr">
        <is>
          <t>Month 1 row 58</t>
        </is>
      </c>
    </row>
    <row r="81">
      <c r="A81" s="7" t="n">
        <v>80</v>
      </c>
      <c r="B81" s="7" t="inlineStr">
        <is>
          <t>2</t>
        </is>
      </c>
      <c r="C81" s="7" t="inlineStr">
        <is>
          <t>New market</t>
        </is>
      </c>
      <c r="D81" s="7" t="inlineStr">
        <is>
          <t>What Changes When a Virginia Search Is Run for You</t>
        </is>
      </c>
      <c r="E81" s="7" t="inlineStr">
        <is>
          <t>virginia matchmaker</t>
        </is>
      </c>
      <c r="F81" s="16" t="inlineStr">
        <is>
          <t>Owned</t>
        </is>
      </c>
      <c r="G81" s="7" t="inlineStr">
        <is>
          <t>Targets 'virginia matchmaker', which /virginia-matchmaker owns. Improve the landing page instead.</t>
        </is>
      </c>
    </row>
    <row r="82">
      <c r="A82" s="7" t="n">
        <v>81</v>
      </c>
      <c r="B82" s="7" t="inlineStr">
        <is>
          <t>2</t>
        </is>
      </c>
      <c r="C82" s="7" t="inlineStr">
        <is>
          <t>Service / head term</t>
        </is>
      </c>
      <c r="D82" s="7" t="inlineStr">
        <is>
          <t>Matchmaking Services: What You Are Buying and What You Are Not</t>
        </is>
      </c>
      <c r="E82" s="7" t="inlineStr">
        <is>
          <t>match making service</t>
        </is>
      </c>
      <c r="F82" s="10" t="inlineStr">
        <is>
          <t>Already live</t>
        </is>
      </c>
      <c r="G82" s="7" t="inlineStr">
        <is>
          <t>Covered by live post 18619</t>
        </is>
      </c>
    </row>
    <row r="83">
      <c r="A83" s="7" t="n">
        <v>82</v>
      </c>
      <c r="B83" s="7" t="inlineStr">
        <is>
          <t>2</t>
        </is>
      </c>
      <c r="C83" s="7" t="inlineStr">
        <is>
          <t>Service / head term</t>
        </is>
      </c>
      <c r="D83" s="7" t="inlineStr">
        <is>
          <t>What Separates the Best Matchmakers From the Rest</t>
        </is>
      </c>
      <c r="E83" s="7" t="inlineStr">
        <is>
          <t>best matchmakers</t>
        </is>
      </c>
      <c r="F83" s="10" t="inlineStr">
        <is>
          <t>Already live</t>
        </is>
      </c>
      <c r="G83" s="7" t="inlineStr">
        <is>
          <t>Covered by live post 18619</t>
        </is>
      </c>
    </row>
    <row r="84">
      <c r="A84" s="7" t="n">
        <v>83</v>
      </c>
      <c r="B84" s="7" t="inlineStr">
        <is>
          <t>2</t>
        </is>
      </c>
      <c r="C84" s="7" t="inlineStr">
        <is>
          <t>Service / head term</t>
        </is>
      </c>
      <c r="D84" s="7" t="inlineStr">
        <is>
          <t>How to Judge a Matchmaking Service Before You Pay</t>
        </is>
      </c>
      <c r="E84" s="7" t="inlineStr">
        <is>
          <t>best matchmaking services</t>
        </is>
      </c>
      <c r="F84" s="10" t="inlineStr">
        <is>
          <t>Already live</t>
        </is>
      </c>
      <c r="G84" s="7" t="inlineStr">
        <is>
          <t>Covered by live post 18619</t>
        </is>
      </c>
    </row>
    <row r="85">
      <c r="A85" s="7" t="n">
        <v>84</v>
      </c>
      <c r="B85" s="7" t="inlineStr">
        <is>
          <t>2</t>
        </is>
      </c>
      <c r="C85" s="7" t="inlineStr">
        <is>
          <t>Service / head term</t>
        </is>
      </c>
      <c r="D85" s="7" t="inlineStr">
        <is>
          <t>Matchmaker Sites vs a Matchmaker: Two Different Products</t>
        </is>
      </c>
      <c r="E85" s="7" t="inlineStr">
        <is>
          <t>matchmaker com</t>
        </is>
      </c>
      <c r="F85" s="10" t="inlineStr">
        <is>
          <t>Already live</t>
        </is>
      </c>
      <c r="G85" s="7" t="inlineStr">
        <is>
          <t>Covered by live post 18618</t>
        </is>
      </c>
    </row>
    <row r="86">
      <c r="A86" s="7" t="n">
        <v>85</v>
      </c>
      <c r="B86" s="7" t="inlineStr">
        <is>
          <t>3</t>
        </is>
      </c>
      <c r="C86" s="7" t="inlineStr">
        <is>
          <t>Refresh: client's older post</t>
        </is>
      </c>
      <c r="D86" s="7" t="inlineStr">
        <is>
          <t>REFRESH: 18589</t>
        </is>
      </c>
      <c r="E86" s="7" t="inlineStr">
        <is>
          <t>how to choose a selective membership dating service?</t>
        </is>
      </c>
      <c r="F86" s="15" t="inlineStr">
        <is>
          <t>Refresh</t>
        </is>
      </c>
      <c r="G86" s="7" t="inlineStr">
        <is>
          <t>Refreshes tab (outside the 60)</t>
        </is>
      </c>
    </row>
    <row r="87">
      <c r="A87" s="7" t="n">
        <v>86</v>
      </c>
      <c r="B87" s="7" t="inlineStr">
        <is>
          <t>3</t>
        </is>
      </c>
      <c r="C87" s="7" t="inlineStr">
        <is>
          <t>Refresh: client's older post</t>
        </is>
      </c>
      <c r="D87" s="7" t="inlineStr">
        <is>
          <t>REFRESH: Dating In Orlando What Makes Central Florida Different And Why It Matters</t>
        </is>
      </c>
      <c r="E87" s="7" t="inlineStr">
        <is>
          <t>orlando dating scene</t>
        </is>
      </c>
      <c r="F87" s="15" t="inlineStr">
        <is>
          <t>Refresh</t>
        </is>
      </c>
      <c r="G87" s="7" t="inlineStr">
        <is>
          <t>Refreshes tab (outside the 60)</t>
        </is>
      </c>
    </row>
    <row r="88">
      <c r="A88" s="7" t="n">
        <v>87</v>
      </c>
      <c r="B88" s="7" t="inlineStr">
        <is>
          <t>3</t>
        </is>
      </c>
      <c r="C88" s="7" t="inlineStr">
        <is>
          <t>Reddit market</t>
        </is>
      </c>
      <c r="D88" s="7" t="inlineStr">
        <is>
          <t>Pacific Heights Matchmaker: Introductions Without the Wider San Francisco Pool</t>
        </is>
      </c>
      <c r="E88" s="7" t="inlineStr">
        <is>
          <t>san francisco matchmaker</t>
        </is>
      </c>
      <c r="F88" s="16" t="inlineStr">
        <is>
          <t>Owned</t>
        </is>
      </c>
      <c r="G88" s="7" t="inlineStr">
        <is>
          <t>Targets 'san francisco matchmaker', which /san-francisco-matchmaker owns. Improve the landing page instead.</t>
        </is>
      </c>
    </row>
    <row r="89">
      <c r="A89" s="7" t="n">
        <v>88</v>
      </c>
      <c r="B89" s="7" t="inlineStr">
        <is>
          <t>3</t>
        </is>
      </c>
      <c r="C89" s="7" t="inlineStr">
        <is>
          <t>Reddit market</t>
        </is>
      </c>
      <c r="D89" s="7" t="inlineStr">
        <is>
          <t>San Francisco Matchmaker for Executives Who Cannot Date on a Schedule</t>
        </is>
      </c>
      <c r="E89" s="7" t="inlineStr">
        <is>
          <t>san francisco matchmaker</t>
        </is>
      </c>
      <c r="F89" s="16" t="inlineStr">
        <is>
          <t>Owned</t>
        </is>
      </c>
      <c r="G89" s="7" t="inlineStr">
        <is>
          <t>Targets 'san francisco matchmaker', which /san-francisco-matchmaker owns. Improve the landing page instead.</t>
        </is>
      </c>
    </row>
    <row r="90">
      <c r="A90" s="7" t="n">
        <v>89</v>
      </c>
      <c r="B90" s="7" t="inlineStr">
        <is>
          <t>3</t>
        </is>
      </c>
      <c r="C90" s="7" t="inlineStr">
        <is>
          <t>Reddit market</t>
        </is>
      </c>
      <c r="D90" s="7" t="inlineStr">
        <is>
          <t>Marina Matchmaker: Keeping the Search Close to Home</t>
        </is>
      </c>
      <c r="E90" s="7" t="inlineStr">
        <is>
          <t>san francisco matchmaker</t>
        </is>
      </c>
      <c r="F90" s="16" t="inlineStr">
        <is>
          <t>Owned</t>
        </is>
      </c>
      <c r="G90" s="7" t="inlineStr">
        <is>
          <t>Targets 'san francisco matchmaker', which /san-francisco-matchmaker owns. Improve the landing page instead.</t>
        </is>
      </c>
    </row>
    <row r="91">
      <c r="A91" s="7" t="n">
        <v>90</v>
      </c>
      <c r="B91" s="7" t="inlineStr">
        <is>
          <t>3</t>
        </is>
      </c>
      <c r="C91" s="7" t="inlineStr">
        <is>
          <t>Reddit market</t>
        </is>
      </c>
      <c r="D91" s="7" t="inlineStr">
        <is>
          <t>How San Francisco Matchmakers Screen the People They Introduce</t>
        </is>
      </c>
      <c r="E91" s="7" t="inlineStr">
        <is>
          <t>san francisco matchmaker</t>
        </is>
      </c>
      <c r="F91" s="16" t="inlineStr">
        <is>
          <t>Owned</t>
        </is>
      </c>
      <c r="G91" s="7" t="inlineStr">
        <is>
          <t>Targets 'san francisco matchmaker', which /san-francisco-matchmaker owns. Improve the landing page instead.</t>
        </is>
      </c>
    </row>
    <row r="92">
      <c r="A92" s="7" t="n">
        <v>91</v>
      </c>
      <c r="B92" s="7" t="inlineStr">
        <is>
          <t>3</t>
        </is>
      </c>
      <c r="C92" s="7" t="inlineStr">
        <is>
          <t>Reddit market</t>
        </is>
      </c>
      <c r="D92" s="7" t="inlineStr">
        <is>
          <t>Peninsula Matchmaker: Introductions Without the Wider Bay Area Pool</t>
        </is>
      </c>
      <c r="E92" s="7" t="inlineStr">
        <is>
          <t>bay area matchmaker</t>
        </is>
      </c>
      <c r="F92" s="10" t="inlineStr">
        <is>
          <t>Already live</t>
        </is>
      </c>
      <c r="G92" s="7" t="inlineStr">
        <is>
          <t>Covered by live post 18643</t>
        </is>
      </c>
    </row>
    <row r="93">
      <c r="A93" s="7" t="n">
        <v>92</v>
      </c>
      <c r="B93" s="7" t="inlineStr">
        <is>
          <t>3</t>
        </is>
      </c>
      <c r="C93" s="7" t="inlineStr">
        <is>
          <t>Reddit market</t>
        </is>
      </c>
      <c r="D93" s="7" t="inlineStr">
        <is>
          <t>Bay Area Matchmaker for Executives Who Cannot Date on a Schedule</t>
        </is>
      </c>
      <c r="E93" s="7" t="inlineStr">
        <is>
          <t>bay area matchmaker</t>
        </is>
      </c>
      <c r="F93" s="10" t="inlineStr">
        <is>
          <t>Already live</t>
        </is>
      </c>
      <c r="G93" s="7" t="inlineStr">
        <is>
          <t>Covered by live post 18643</t>
        </is>
      </c>
    </row>
    <row r="94">
      <c r="A94" s="7" t="n">
        <v>93</v>
      </c>
      <c r="B94" s="7" t="inlineStr">
        <is>
          <t>3</t>
        </is>
      </c>
      <c r="C94" s="7" t="inlineStr">
        <is>
          <t>Reddit market</t>
        </is>
      </c>
      <c r="D94" s="7" t="inlineStr">
        <is>
          <t>Walnut Creek Matchmaker: A Deliberately Narrow Search</t>
        </is>
      </c>
      <c r="E94" s="7" t="inlineStr">
        <is>
          <t>bay area matchmaker</t>
        </is>
      </c>
      <c r="F94" s="15" t="inlineStr">
        <is>
          <t>Pipeline</t>
        </is>
      </c>
      <c r="G94" s="7" t="inlineStr">
        <is>
          <t>Months 2-3 pipeline: Walnut Creek / East Bay</t>
        </is>
      </c>
    </row>
    <row r="95">
      <c r="A95" s="7" t="n">
        <v>94</v>
      </c>
      <c r="B95" s="7" t="inlineStr">
        <is>
          <t>3</t>
        </is>
      </c>
      <c r="C95" s="7" t="inlineStr">
        <is>
          <t>Reddit market</t>
        </is>
      </c>
      <c r="D95" s="7" t="inlineStr">
        <is>
          <t>How Bay Area Matchmakers Screen the People They Introduce</t>
        </is>
      </c>
      <c r="E95" s="7" t="inlineStr">
        <is>
          <t>bay area matchmaker</t>
        </is>
      </c>
      <c r="F95" s="10" t="inlineStr">
        <is>
          <t>Already live</t>
        </is>
      </c>
      <c r="G95" s="7" t="inlineStr">
        <is>
          <t>Covered by live post 18643</t>
        </is>
      </c>
    </row>
    <row r="96">
      <c r="A96" s="7" t="n">
        <v>95</v>
      </c>
      <c r="B96" s="7" t="inlineStr">
        <is>
          <t>3</t>
        </is>
      </c>
      <c r="C96" s="7" t="inlineStr">
        <is>
          <t>New market</t>
        </is>
      </c>
      <c r="D96" s="7" t="inlineStr">
        <is>
          <t>Fort Lauderdale Matchmaker: Fewer Introductions, Better Ones</t>
        </is>
      </c>
      <c r="E96" s="7" t="inlineStr">
        <is>
          <t>fort lauderdale matchmaker</t>
        </is>
      </c>
      <c r="F96" s="16" t="inlineStr">
        <is>
          <t>Owned</t>
        </is>
      </c>
      <c r="G96" s="7" t="inlineStr">
        <is>
          <t>Targets 'fort lauderdale matchmaker', which /fort-lauderdale-matchmaker owns. Improve the landing page instead.</t>
        </is>
      </c>
    </row>
    <row r="97">
      <c r="A97" s="7" t="n">
        <v>96</v>
      </c>
      <c r="B97" s="7" t="inlineStr">
        <is>
          <t>3</t>
        </is>
      </c>
      <c r="C97" s="7" t="inlineStr">
        <is>
          <t>New market</t>
        </is>
      </c>
      <c r="D97" s="7" t="inlineStr">
        <is>
          <t>How Matchmaking Works in Tampa Bay, Step by Step</t>
        </is>
      </c>
      <c r="E97" s="7" t="inlineStr">
        <is>
          <t>tampa bay matchmaker</t>
        </is>
      </c>
      <c r="F97" s="16" t="inlineStr">
        <is>
          <t>Owned</t>
        </is>
      </c>
      <c r="G97" s="7" t="inlineStr">
        <is>
          <t>Targets 'tampa bay matchmaker', which /tampa-bay-matchmaker owns. Improve the landing page instead.</t>
        </is>
      </c>
    </row>
    <row r="98">
      <c r="A98" s="7" t="n">
        <v>97</v>
      </c>
      <c r="B98" s="7" t="inlineStr">
        <is>
          <t>3</t>
        </is>
      </c>
      <c r="C98" s="7" t="inlineStr">
        <is>
          <t>New market</t>
        </is>
      </c>
      <c r="D98" s="7" t="inlineStr">
        <is>
          <t>Silicon Valley Matchmaker: Reading the Contract Before You Sign</t>
        </is>
      </c>
      <c r="E98" s="7" t="inlineStr">
        <is>
          <t>silicon valley matchmaker</t>
        </is>
      </c>
      <c r="F98" s="10" t="inlineStr">
        <is>
          <t>Already live</t>
        </is>
      </c>
      <c r="G98" s="7" t="inlineStr">
        <is>
          <t>Covered by live post 18661 / 18660</t>
        </is>
      </c>
    </row>
    <row r="99">
      <c r="A99" s="7" t="n">
        <v>98</v>
      </c>
      <c r="B99" s="7" t="inlineStr">
        <is>
          <t>3</t>
        </is>
      </c>
      <c r="C99" s="7" t="inlineStr">
        <is>
          <t>New market</t>
        </is>
      </c>
      <c r="D99" s="7" t="inlineStr">
        <is>
          <t>Meeting Someone in Michigan Without a Public Profile</t>
        </is>
      </c>
      <c r="E99" s="7" t="inlineStr">
        <is>
          <t>michigan matchmaker</t>
        </is>
      </c>
      <c r="F99" s="16" t="inlineStr">
        <is>
          <t>Owned</t>
        </is>
      </c>
      <c r="G99" s="7" t="inlineStr">
        <is>
          <t>Targets 'michigan matchmaker', which /michigan-matchmaker owns. Improve the landing page instead.</t>
        </is>
      </c>
    </row>
    <row r="100">
      <c r="A100" s="7" t="n">
        <v>99</v>
      </c>
      <c r="B100" s="7" t="inlineStr">
        <is>
          <t>3</t>
        </is>
      </c>
      <c r="C100" s="7" t="inlineStr">
        <is>
          <t>New market</t>
        </is>
      </c>
      <c r="D100" s="7" t="inlineStr">
        <is>
          <t>South Dakota Matchmaker: What Background Checks Actually Cover</t>
        </is>
      </c>
      <c r="E100" s="7" t="inlineStr">
        <is>
          <t>south dakota matchmaker</t>
        </is>
      </c>
      <c r="F100" s="16" t="inlineStr">
        <is>
          <t>Owned</t>
        </is>
      </c>
      <c r="G100" s="7" t="inlineStr">
        <is>
          <t>Targets 'south dakota matchmaker', which /south-dakota-matchmaker owns. Improve the landing page instead.</t>
        </is>
      </c>
    </row>
    <row r="101">
      <c r="A101" s="7" t="n">
        <v>100</v>
      </c>
      <c r="B101" s="7" t="inlineStr">
        <is>
          <t>3</t>
        </is>
      </c>
      <c r="C101" s="7" t="inlineStr">
        <is>
          <t>New market</t>
        </is>
      </c>
      <c r="D101" s="7" t="inlineStr">
        <is>
          <t>How Far a Bellevue Matchmaker Should Search for You</t>
        </is>
      </c>
      <c r="E101" s="7" t="inlineStr">
        <is>
          <t>bellevue matchmaker</t>
        </is>
      </c>
      <c r="F101" s="9" t="inlineStr">
        <is>
          <t>Month 1</t>
        </is>
      </c>
      <c r="G101" s="7" t="inlineStr">
        <is>
          <t>Month 1 row 56</t>
        </is>
      </c>
    </row>
    <row r="102">
      <c r="A102" s="7" t="n">
        <v>101</v>
      </c>
      <c r="B102" s="7" t="inlineStr">
        <is>
          <t>3</t>
        </is>
      </c>
      <c r="C102" s="7" t="inlineStr">
        <is>
          <t>New market</t>
        </is>
      </c>
      <c r="D102" s="7" t="inlineStr">
        <is>
          <t>Columbus Matchmaker: The Timeline From First Call to First Date</t>
        </is>
      </c>
      <c r="E102" s="7" t="inlineStr">
        <is>
          <t>columbus matchmaker</t>
        </is>
      </c>
      <c r="F102" s="16" t="inlineStr">
        <is>
          <t>Owned</t>
        </is>
      </c>
      <c r="G102" s="7" t="inlineStr">
        <is>
          <t>The Ohio page ranks ~7 for Columbus.</t>
        </is>
      </c>
    </row>
    <row r="103">
      <c r="A103" s="7" t="n">
        <v>102</v>
      </c>
      <c r="B103" s="7" t="inlineStr">
        <is>
          <t>3</t>
        </is>
      </c>
      <c r="C103" s="7" t="inlineStr">
        <is>
          <t>New market</t>
        </is>
      </c>
      <c r="D103" s="7" t="inlineStr">
        <is>
          <t>Why a Small Santa Monica Dating Pool Is Not the Problem</t>
        </is>
      </c>
      <c r="E103" s="7" t="inlineStr">
        <is>
          <t>santa monica matchmaker</t>
        </is>
      </c>
      <c r="F103" s="9" t="inlineStr">
        <is>
          <t>Month 1</t>
        </is>
      </c>
      <c r="G103" s="7" t="inlineStr">
        <is>
          <t>Month 1 row 42</t>
        </is>
      </c>
    </row>
    <row r="104">
      <c r="A104" s="7" t="n">
        <v>103</v>
      </c>
      <c r="B104" s="7" t="inlineStr">
        <is>
          <t>3</t>
        </is>
      </c>
      <c r="C104" s="7" t="inlineStr">
        <is>
          <t>New market</t>
        </is>
      </c>
      <c r="D104" s="7" t="inlineStr">
        <is>
          <t>Sacramento Matchmaker: What Happens After an Introduction</t>
        </is>
      </c>
      <c r="E104" s="7" t="inlineStr">
        <is>
          <t>sacramento matchmaker</t>
        </is>
      </c>
      <c r="F104" s="10" t="inlineStr">
        <is>
          <t>Already live</t>
        </is>
      </c>
      <c r="G104" s="7" t="inlineStr">
        <is>
          <t>Covered by live post 18721</t>
        </is>
      </c>
    </row>
    <row r="105">
      <c r="A105" s="7" t="n">
        <v>104</v>
      </c>
      <c r="B105" s="7" t="inlineStr">
        <is>
          <t>3</t>
        </is>
      </c>
      <c r="C105" s="7" t="inlineStr">
        <is>
          <t>New market</t>
        </is>
      </c>
      <c r="D105" s="7" t="inlineStr">
        <is>
          <t>Choosing Between Buckhead Matchmakers: What Actually Differs</t>
        </is>
      </c>
      <c r="E105" s="7" t="inlineStr">
        <is>
          <t>buckhead matchmaker</t>
        </is>
      </c>
      <c r="F105" s="9" t="inlineStr">
        <is>
          <t>Month 1</t>
        </is>
      </c>
      <c r="G105" s="7" t="inlineStr">
        <is>
          <t>Month 1 row 54</t>
        </is>
      </c>
    </row>
    <row r="106">
      <c r="A106" s="7" t="n">
        <v>105</v>
      </c>
      <c r="B106" s="7" t="inlineStr">
        <is>
          <t>3</t>
        </is>
      </c>
      <c r="C106" s="7" t="inlineStr">
        <is>
          <t>New market</t>
        </is>
      </c>
      <c r="D106" s="7" t="inlineStr">
        <is>
          <t>Boulder Matchmaker for Founders and Business Owners</t>
        </is>
      </c>
      <c r="E106" s="7" t="inlineStr">
        <is>
          <t>boulder matchmaker</t>
        </is>
      </c>
      <c r="F106" s="9" t="inlineStr">
        <is>
          <t>Month 1</t>
        </is>
      </c>
      <c r="G106" s="7" t="inlineStr">
        <is>
          <t>Month 1 row 55</t>
        </is>
      </c>
    </row>
    <row r="107">
      <c r="A107" s="7" t="n">
        <v>106</v>
      </c>
      <c r="B107" s="7" t="inlineStr">
        <is>
          <t>3</t>
        </is>
      </c>
      <c r="C107" s="7" t="inlineStr">
        <is>
          <t>New market</t>
        </is>
      </c>
      <c r="D107" s="7" t="inlineStr">
        <is>
          <t>What a Richmond Matchmaker Needs to Know About You</t>
        </is>
      </c>
      <c r="E107" s="7" t="inlineStr">
        <is>
          <t>richmond matchmaker</t>
        </is>
      </c>
      <c r="F107" s="16" t="inlineStr">
        <is>
          <t>Owned</t>
        </is>
      </c>
      <c r="G107" s="7" t="inlineStr">
        <is>
          <t>Targets 'richmond matchmaker', which /richmond-matchmaker owns. Improve the landing page instead.</t>
        </is>
      </c>
    </row>
    <row r="108">
      <c r="A108" s="7" t="n">
        <v>107</v>
      </c>
      <c r="B108" s="7" t="inlineStr">
        <is>
          <t>3</t>
        </is>
      </c>
      <c r="C108" s="7" t="inlineStr">
        <is>
          <t>New market</t>
        </is>
      </c>
      <c r="D108" s="7" t="inlineStr">
        <is>
          <t>Oklahoma Matchmaker: When Coaching Matters More Than Matching</t>
        </is>
      </c>
      <c r="E108" s="7" t="inlineStr">
        <is>
          <t>oklahoma matchmaker</t>
        </is>
      </c>
      <c r="F108" s="16" t="inlineStr">
        <is>
          <t>Owned</t>
        </is>
      </c>
      <c r="G108" s="7" t="inlineStr">
        <is>
          <t>The Oklahoma City page ranks ~10.5 for 'oklahoma matchmaker'.</t>
        </is>
      </c>
    </row>
    <row r="109">
      <c r="A109" s="7" t="n">
        <v>108</v>
      </c>
      <c r="B109" s="7" t="inlineStr">
        <is>
          <t>3</t>
        </is>
      </c>
      <c r="C109" s="7" t="inlineStr">
        <is>
          <t>New market</t>
        </is>
      </c>
      <c r="D109" s="7" t="inlineStr">
        <is>
          <t>How Colorado Springs Singles End Up in the Wrong Search</t>
        </is>
      </c>
      <c r="E109" s="7" t="inlineStr">
        <is>
          <t>colorado springs matchmaker</t>
        </is>
      </c>
      <c r="F109" s="16" t="inlineStr">
        <is>
          <t>Owned</t>
        </is>
      </c>
      <c r="G109" s="7" t="inlineStr">
        <is>
          <t>The Colorado page ranks ~7.5 for Colorado Springs.</t>
        </is>
      </c>
    </row>
    <row r="110">
      <c r="A110" s="7" t="n">
        <v>109</v>
      </c>
      <c r="B110" s="7" t="inlineStr">
        <is>
          <t>3</t>
        </is>
      </c>
      <c r="C110" s="7" t="inlineStr">
        <is>
          <t>New market</t>
        </is>
      </c>
      <c r="D110" s="7" t="inlineStr">
        <is>
          <t>Minnesota Matchmaker: The Introductions You Will Not Get on an App</t>
        </is>
      </c>
      <c r="E110" s="7" t="inlineStr">
        <is>
          <t>minnesota matchmaker</t>
        </is>
      </c>
      <c r="F110" s="16" t="inlineStr">
        <is>
          <t>Owned</t>
        </is>
      </c>
      <c r="G110" s="7" t="inlineStr">
        <is>
          <t>Targets 'minnesota matchmaker', which /minnesota-matchmaker owns. Improve the landing page instead.</t>
        </is>
      </c>
    </row>
    <row r="111">
      <c r="A111" s="7" t="n">
        <v>110</v>
      </c>
      <c r="B111" s="7" t="inlineStr">
        <is>
          <t>3</t>
        </is>
      </c>
      <c r="C111" s="7" t="inlineStr">
        <is>
          <t>New market</t>
        </is>
      </c>
      <c r="D111" s="7" t="inlineStr">
        <is>
          <t>What a Serious Jersey City Search Asks of Your Calendar</t>
        </is>
      </c>
      <c r="E111" s="7" t="inlineStr">
        <is>
          <t>jersey city matchmaker</t>
        </is>
      </c>
      <c r="F111" s="16" t="inlineStr">
        <is>
          <t>Owned</t>
        </is>
      </c>
      <c r="G111" s="7" t="inlineStr">
        <is>
          <t>The New Jersey page ranks ~10 for Jersey City / Hoboken.</t>
        </is>
      </c>
    </row>
    <row r="112">
      <c r="A112" s="7" t="n">
        <v>111</v>
      </c>
      <c r="B112" s="7" t="inlineStr">
        <is>
          <t>3</t>
        </is>
      </c>
      <c r="C112" s="7" t="inlineStr">
        <is>
          <t>Service / head term</t>
        </is>
      </c>
      <c r="D112" s="7" t="inlineStr">
        <is>
          <t>What Makes a Matchmaker Professional, and How to Tell</t>
        </is>
      </c>
      <c r="E112" s="7" t="inlineStr">
        <is>
          <t>professional match makers</t>
        </is>
      </c>
      <c r="F112" s="10" t="inlineStr">
        <is>
          <t>Already live</t>
        </is>
      </c>
      <c r="G112" s="7" t="inlineStr">
        <is>
          <t>Covered by live post 18703</t>
        </is>
      </c>
    </row>
    <row r="113">
      <c r="A113" s="7" t="n">
        <v>112</v>
      </c>
      <c r="B113" s="7" t="inlineStr">
        <is>
          <t>3</t>
        </is>
      </c>
      <c r="C113" s="7" t="inlineStr">
        <is>
          <t>Service / head term</t>
        </is>
      </c>
      <c r="D113" s="7" t="inlineStr">
        <is>
          <t>Private Matchmaking: What Discretion Costs and Buys</t>
        </is>
      </c>
      <c r="E113" s="7" t="inlineStr">
        <is>
          <t>private matchmakers</t>
        </is>
      </c>
      <c r="F113" s="9" t="inlineStr">
        <is>
          <t>Month 1</t>
        </is>
      </c>
      <c r="G113" s="7" t="inlineStr">
        <is>
          <t>Month 1 row 37</t>
        </is>
      </c>
    </row>
    <row r="114">
      <c r="A114" s="7" t="n">
        <v>113</v>
      </c>
      <c r="B114" s="7" t="inlineStr">
        <is>
          <t>3</t>
        </is>
      </c>
      <c r="C114" s="7" t="inlineStr">
        <is>
          <t>Service / head term</t>
        </is>
      </c>
      <c r="D114" s="7" t="inlineStr">
        <is>
          <t>Big-City Matchmaking: Why a Larger Pool Is Not an Easier Search</t>
        </is>
      </c>
      <c r="E114" s="7" t="inlineStr">
        <is>
          <t>matchmakers in the city</t>
        </is>
      </c>
      <c r="F114" s="10" t="inlineStr">
        <is>
          <t>Already live</t>
        </is>
      </c>
      <c r="G114" s="7" t="inlineStr">
        <is>
          <t>Covered by live post 18702</t>
        </is>
      </c>
    </row>
    <row r="115">
      <c r="A115" s="7" t="n">
        <v>114</v>
      </c>
      <c r="B115" s="7" t="inlineStr">
        <is>
          <t>4</t>
        </is>
      </c>
      <c r="C115" s="7" t="inlineStr">
        <is>
          <t>New market</t>
        </is>
      </c>
      <c r="D115" s="7" t="inlineStr">
        <is>
          <t>[title pending] Los Angeles matchmaker, article 1 of 3</t>
        </is>
      </c>
      <c r="E115" s="7" t="inlineStr">
        <is>
          <t>los angeles matchmaker</t>
        </is>
      </c>
      <c r="F115" s="16" t="inlineStr">
        <is>
          <t>Owned</t>
        </is>
      </c>
      <c r="G115" s="7" t="inlineStr">
        <is>
          <t>Targets 'los angeles matchmaker', which /los-angeles-matchmaker owns. Improve the landing page instead.</t>
        </is>
      </c>
    </row>
    <row r="116">
      <c r="A116" s="7" t="n">
        <v>115</v>
      </c>
      <c r="B116" s="7" t="inlineStr">
        <is>
          <t>4</t>
        </is>
      </c>
      <c r="C116" s="7" t="inlineStr">
        <is>
          <t>New market</t>
        </is>
      </c>
      <c r="D116" s="7" t="inlineStr">
        <is>
          <t>[title pending] Los Angeles matchmaker, article 2 of 3</t>
        </is>
      </c>
      <c r="E116" s="7" t="inlineStr">
        <is>
          <t>los angeles matchmaker</t>
        </is>
      </c>
      <c r="F116" s="16" t="inlineStr">
        <is>
          <t>Owned</t>
        </is>
      </c>
      <c r="G116" s="7" t="inlineStr">
        <is>
          <t>Targets 'los angeles matchmaker', which /los-angeles-matchmaker owns. Improve the landing page instead.</t>
        </is>
      </c>
    </row>
    <row r="117">
      <c r="A117" s="7" t="n">
        <v>116</v>
      </c>
      <c r="B117" s="7" t="inlineStr">
        <is>
          <t>4</t>
        </is>
      </c>
      <c r="C117" s="7" t="inlineStr">
        <is>
          <t>New market</t>
        </is>
      </c>
      <c r="D117" s="7" t="inlineStr">
        <is>
          <t>[title pending] Los Angeles matchmaker, article 3 of 3</t>
        </is>
      </c>
      <c r="E117" s="7" t="inlineStr">
        <is>
          <t>los angeles matchmaker</t>
        </is>
      </c>
      <c r="F117" s="16" t="inlineStr">
        <is>
          <t>Owned</t>
        </is>
      </c>
      <c r="G117" s="7" t="inlineStr">
        <is>
          <t>Targets 'los angeles matchmaker', which /los-angeles-matchmaker owns. Improve the landing page instead.</t>
        </is>
      </c>
    </row>
    <row r="118">
      <c r="A118" s="7" t="n">
        <v>117</v>
      </c>
      <c r="B118" s="7" t="inlineStr">
        <is>
          <t>4</t>
        </is>
      </c>
      <c r="C118" s="7" t="inlineStr">
        <is>
          <t>New market</t>
        </is>
      </c>
      <c r="D118" s="7" t="inlineStr">
        <is>
          <t>San Diego Matchmaker: Filtering for Intent in a Beach Town</t>
        </is>
      </c>
      <c r="E118" s="7" t="inlineStr">
        <is>
          <t>san diego matchmaker</t>
        </is>
      </c>
      <c r="F118" s="16" t="inlineStr">
        <is>
          <t>Owned</t>
        </is>
      </c>
      <c r="G118" s="7" t="inlineStr">
        <is>
          <t>Targets 'san diego matchmaker', which /san-diego-matchmaker owns. Improve the landing page instead.</t>
        </is>
      </c>
    </row>
    <row r="119">
      <c r="A119" s="7" t="n">
        <v>118</v>
      </c>
      <c r="B119" s="7" t="inlineStr">
        <is>
          <t>4</t>
        </is>
      </c>
      <c r="C119" s="7" t="inlineStr">
        <is>
          <t>New market</t>
        </is>
      </c>
      <c r="D119" s="7" t="inlineStr">
        <is>
          <t>San Diego Matchmaker: A Pool That Turns Over With Every Posting</t>
        </is>
      </c>
      <c r="E119" s="7" t="inlineStr">
        <is>
          <t>san diego matchmaker</t>
        </is>
      </c>
      <c r="F119" s="16" t="inlineStr">
        <is>
          <t>Owned</t>
        </is>
      </c>
      <c r="G119" s="7" t="inlineStr">
        <is>
          <t>Targets 'san diego matchmaker', which /san-diego-matchmaker owns. Improve the landing page instead.</t>
        </is>
      </c>
    </row>
    <row r="120">
      <c r="A120" s="7" t="n">
        <v>119</v>
      </c>
      <c r="B120" s="7" t="inlineStr">
        <is>
          <t>4</t>
        </is>
      </c>
      <c r="C120" s="7" t="inlineStr">
        <is>
          <t>New market</t>
        </is>
      </c>
      <c r="D120" s="7" t="inlineStr">
        <is>
          <t>How Far Apart Torrey Pines and Coronado Really Are</t>
        </is>
      </c>
      <c r="E120" s="7" t="inlineStr">
        <is>
          <t>san diego matchmaker</t>
        </is>
      </c>
      <c r="F120" s="16" t="inlineStr">
        <is>
          <t>Owned</t>
        </is>
      </c>
      <c r="G120" s="7" t="inlineStr">
        <is>
          <t>Targets 'san diego matchmaker', which /san-diego-matchmaker owns. Improve the landing page instead.</t>
        </is>
      </c>
    </row>
    <row r="121">
      <c r="A121" s="7" t="n">
        <v>120</v>
      </c>
      <c r="B121" s="7" t="inlineStr">
        <is>
          <t>4</t>
        </is>
      </c>
      <c r="C121" s="7" t="inlineStr">
        <is>
          <t>New market</t>
        </is>
      </c>
      <c r="D121" s="7" t="inlineStr">
        <is>
          <t>[title pending] Miami matchmaker, article 1 of 3</t>
        </is>
      </c>
      <c r="E121" s="7" t="inlineStr">
        <is>
          <t>miami matchmaker</t>
        </is>
      </c>
      <c r="F121" s="16" t="inlineStr">
        <is>
          <t>Owned</t>
        </is>
      </c>
      <c r="G121" s="7" t="inlineStr">
        <is>
          <t>Targets 'miami matchmaker', which /miami-matchmaker owns. Improve the landing page instead.</t>
        </is>
      </c>
    </row>
    <row r="122">
      <c r="A122" s="7" t="n">
        <v>121</v>
      </c>
      <c r="B122" s="7" t="inlineStr">
        <is>
          <t>4</t>
        </is>
      </c>
      <c r="C122" s="7" t="inlineStr">
        <is>
          <t>New market</t>
        </is>
      </c>
      <c r="D122" s="7" t="inlineStr">
        <is>
          <t>[title pending] Miami matchmaker, article 2 of 3</t>
        </is>
      </c>
      <c r="E122" s="7" t="inlineStr">
        <is>
          <t>miami matchmaker</t>
        </is>
      </c>
      <c r="F122" s="16" t="inlineStr">
        <is>
          <t>Owned</t>
        </is>
      </c>
      <c r="G122" s="7" t="inlineStr">
        <is>
          <t>Targets 'miami matchmaker', which /miami-matchmaker owns. Improve the landing page instead.</t>
        </is>
      </c>
    </row>
    <row r="123">
      <c r="A123" s="7" t="n">
        <v>122</v>
      </c>
      <c r="B123" s="7" t="inlineStr">
        <is>
          <t>4</t>
        </is>
      </c>
      <c r="C123" s="7" t="inlineStr">
        <is>
          <t>New market</t>
        </is>
      </c>
      <c r="D123" s="7" t="inlineStr">
        <is>
          <t>[title pending] Miami matchmaker, article 3 of 3</t>
        </is>
      </c>
      <c r="E123" s="7" t="inlineStr">
        <is>
          <t>miami matchmaker</t>
        </is>
      </c>
      <c r="F123" s="16" t="inlineStr">
        <is>
          <t>Owned</t>
        </is>
      </c>
      <c r="G123" s="7" t="inlineStr">
        <is>
          <t>Targets 'miami matchmaker', which /miami-matchmaker owns. Improve the landing page instead.</t>
        </is>
      </c>
    </row>
    <row r="124">
      <c r="A124" s="7" t="n">
        <v>123</v>
      </c>
      <c r="B124" s="7" t="inlineStr">
        <is>
          <t>4</t>
        </is>
      </c>
      <c r="C124" s="7" t="inlineStr">
        <is>
          <t>New market</t>
        </is>
      </c>
      <c r="D124" s="7" t="inlineStr">
        <is>
          <t>Philadelphia Matchmaker: Center City and the Main Line, Joined by a Train</t>
        </is>
      </c>
      <c r="E124" s="7" t="inlineStr">
        <is>
          <t>philadelphia matchmaker</t>
        </is>
      </c>
      <c r="F124" s="16" t="inlineStr">
        <is>
          <t>Owned</t>
        </is>
      </c>
      <c r="G124" s="7" t="inlineStr">
        <is>
          <t>Targets 'philadelphia matchmaker', which /philadelphia-matchmaker owns. Improve the landing page instead.</t>
        </is>
      </c>
    </row>
    <row r="125">
      <c r="A125" s="7" t="n">
        <v>124</v>
      </c>
      <c r="B125" s="7" t="inlineStr">
        <is>
          <t>4</t>
        </is>
      </c>
      <c r="C125" s="7" t="inlineStr">
        <is>
          <t>New market</t>
        </is>
      </c>
      <c r="D125" s="7" t="inlineStr">
        <is>
          <t>Courtship on Foot: How Philadelphia Still Dates in Person</t>
        </is>
      </c>
      <c r="E125" s="7" t="inlineStr">
        <is>
          <t>philadelphia matchmaker</t>
        </is>
      </c>
      <c r="F125" s="16" t="inlineStr">
        <is>
          <t>Owned</t>
        </is>
      </c>
      <c r="G125" s="7" t="inlineStr">
        <is>
          <t>Targets 'philadelphia matchmaker', which /philadelphia-matchmaker owns. Improve the landing page instead.</t>
        </is>
      </c>
    </row>
    <row r="126">
      <c r="A126" s="7" t="n">
        <v>125</v>
      </c>
      <c r="B126" s="7" t="inlineStr">
        <is>
          <t>4</t>
        </is>
      </c>
      <c r="C126" s="7" t="inlineStr">
        <is>
          <t>New market</t>
        </is>
      </c>
      <c r="D126" s="7" t="inlineStr">
        <is>
          <t>[title pending] Dallas matchmaker, article 1 of 2</t>
        </is>
      </c>
      <c r="E126" s="7" t="inlineStr">
        <is>
          <t>dallas matchmaker</t>
        </is>
      </c>
      <c r="F126" s="16" t="inlineStr">
        <is>
          <t>Owned</t>
        </is>
      </c>
      <c r="G126" s="7" t="inlineStr">
        <is>
          <t>Targets 'dallas matchmaker', which /dallas-matchmaker owns. Improve the landing page instead.</t>
        </is>
      </c>
    </row>
    <row r="127">
      <c r="A127" s="7" t="n">
        <v>126</v>
      </c>
      <c r="B127" s="7" t="inlineStr">
        <is>
          <t>4</t>
        </is>
      </c>
      <c r="C127" s="7" t="inlineStr">
        <is>
          <t>New market</t>
        </is>
      </c>
      <c r="D127" s="7" t="inlineStr">
        <is>
          <t>[title pending] Dallas matchmaker, article 2 of 2</t>
        </is>
      </c>
      <c r="E127" s="7" t="inlineStr">
        <is>
          <t>dallas matchmaker</t>
        </is>
      </c>
      <c r="F127" s="16" t="inlineStr">
        <is>
          <t>Owned</t>
        </is>
      </c>
      <c r="G127" s="7" t="inlineStr">
        <is>
          <t>Targets 'dallas matchmaker', which /dallas-matchmaker owns. Improve the landing page instead.</t>
        </is>
      </c>
    </row>
    <row r="128">
      <c r="A128" s="7" t="n">
        <v>127</v>
      </c>
      <c r="B128" s="7" t="inlineStr">
        <is>
          <t>4</t>
        </is>
      </c>
      <c r="C128" s="7" t="inlineStr">
        <is>
          <t>New market</t>
        </is>
      </c>
      <c r="D128" s="7" t="inlineStr">
        <is>
          <t>[title pending] Atlanta matchmaker, article 1 of 2</t>
        </is>
      </c>
      <c r="E128" s="7" t="inlineStr">
        <is>
          <t>atlanta matchmaker</t>
        </is>
      </c>
      <c r="F128" s="16" t="inlineStr">
        <is>
          <t>Owned</t>
        </is>
      </c>
      <c r="G128" s="7" t="inlineStr">
        <is>
          <t>Targets 'atlanta matchmaker', which /atlanta-matchmaker owns. Improve the landing page instead.</t>
        </is>
      </c>
    </row>
    <row r="129">
      <c r="A129" s="7" t="n">
        <v>128</v>
      </c>
      <c r="B129" s="7" t="inlineStr">
        <is>
          <t>4</t>
        </is>
      </c>
      <c r="C129" s="7" t="inlineStr">
        <is>
          <t>New market</t>
        </is>
      </c>
      <c r="D129" s="7" t="inlineStr">
        <is>
          <t>[title pending] Atlanta matchmaker, article 2 of 2</t>
        </is>
      </c>
      <c r="E129" s="7" t="inlineStr">
        <is>
          <t>atlanta matchmaker</t>
        </is>
      </c>
      <c r="F129" s="16" t="inlineStr">
        <is>
          <t>Owned</t>
        </is>
      </c>
      <c r="G129" s="7" t="inlineStr">
        <is>
          <t>Targets 'atlanta matchmaker', which /atlanta-matchmaker owns. Improve the landing page instead.</t>
        </is>
      </c>
    </row>
    <row r="130">
      <c r="A130" s="7" t="n">
        <v>129</v>
      </c>
      <c r="B130" s="7" t="inlineStr">
        <is>
          <t>4</t>
        </is>
      </c>
      <c r="C130" s="7" t="inlineStr">
        <is>
          <t>New market</t>
        </is>
      </c>
      <c r="D130" s="7" t="inlineStr">
        <is>
          <t>Seattle Matchmaker: What the Tech Gender Skew Does to a Search</t>
        </is>
      </c>
      <c r="E130" s="7" t="inlineStr">
        <is>
          <t>seattle matchmaker</t>
        </is>
      </c>
      <c r="F130" s="16" t="inlineStr">
        <is>
          <t>Owned</t>
        </is>
      </c>
      <c r="G130" s="7" t="inlineStr">
        <is>
          <t>Targets 'seattle matchmaker', which /seattle-matchmaker owns. Improve the landing page instead.</t>
        </is>
      </c>
    </row>
    <row r="131">
      <c r="A131" s="7" t="n">
        <v>130</v>
      </c>
      <c r="B131" s="7" t="inlineStr">
        <is>
          <t>4</t>
        </is>
      </c>
      <c r="C131" s="7" t="inlineStr">
        <is>
          <t>New market</t>
        </is>
      </c>
      <c r="D131" s="7" t="inlineStr">
        <is>
          <t>Seattle Matchmaker: When Your Whole Network Is Your Team</t>
        </is>
      </c>
      <c r="E131" s="7" t="inlineStr">
        <is>
          <t>seattle matchmaker</t>
        </is>
      </c>
      <c r="F131" s="16" t="inlineStr">
        <is>
          <t>Owned</t>
        </is>
      </c>
      <c r="G131" s="7" t="inlineStr">
        <is>
          <t>Targets 'seattle matchmaker', which /seattle-matchmaker owns. Improve the landing page instead.</t>
        </is>
      </c>
    </row>
    <row r="132">
      <c r="A132" s="7" t="n">
        <v>131</v>
      </c>
      <c r="B132" s="7" t="inlineStr">
        <is>
          <t>4</t>
        </is>
      </c>
      <c r="C132" s="7" t="inlineStr">
        <is>
          <t>New market</t>
        </is>
      </c>
      <c r="D132" s="7" t="inlineStr">
        <is>
          <t>Denver Matchmaker: Dating Around a Mountain Weekend</t>
        </is>
      </c>
      <c r="E132" s="7" t="inlineStr">
        <is>
          <t>denver matchmaker</t>
        </is>
      </c>
      <c r="F132" s="16" t="inlineStr">
        <is>
          <t>Owned</t>
        </is>
      </c>
      <c r="G132" s="7" t="inlineStr">
        <is>
          <t>Targets 'denver matchmaker', which /denver-matchmaker owns. Improve the landing page instead.</t>
        </is>
      </c>
    </row>
    <row r="133">
      <c r="A133" s="7" t="n">
        <v>132</v>
      </c>
      <c r="B133" s="7" t="inlineStr">
        <is>
          <t>4</t>
        </is>
      </c>
      <c r="C133" s="7" t="inlineStr">
        <is>
          <t>New market</t>
        </is>
      </c>
      <c r="D133" s="7" t="inlineStr">
        <is>
          <t>Denver Matchmaker: Cherry Creek, RiNo and the Tech Center</t>
        </is>
      </c>
      <c r="E133" s="7" t="inlineStr">
        <is>
          <t>denver matchmaker</t>
        </is>
      </c>
      <c r="F133" s="16" t="inlineStr">
        <is>
          <t>Owned</t>
        </is>
      </c>
      <c r="G133" s="7" t="inlineStr">
        <is>
          <t>Targets 'denver matchmaker', which /denver-matchmaker owns. Improve the landing page instead.</t>
        </is>
      </c>
    </row>
    <row r="134">
      <c r="A134" s="7" t="n">
        <v>133</v>
      </c>
      <c r="B134" s="7" t="inlineStr">
        <is>
          <t>4</t>
        </is>
      </c>
      <c r="C134" s="7" t="inlineStr">
        <is>
          <t>New market</t>
        </is>
      </c>
      <c r="D134" s="7" t="inlineStr">
        <is>
          <t>Houston Matchmaker: The Energy Corridor, the Medical Center, and the Drive Between</t>
        </is>
      </c>
      <c r="E134" s="7" t="inlineStr">
        <is>
          <t>houston matchmaker</t>
        </is>
      </c>
      <c r="F134" s="16" t="inlineStr">
        <is>
          <t>Owned</t>
        </is>
      </c>
      <c r="G134" s="7" t="inlineStr">
        <is>
          <t>Targets 'houston matchmaker', which /houston-matchmaker owns. Improve the landing page instead.</t>
        </is>
      </c>
    </row>
    <row r="135">
      <c r="A135" s="7" t="n">
        <v>134</v>
      </c>
      <c r="B135" s="7" t="inlineStr">
        <is>
          <t>4</t>
        </is>
      </c>
      <c r="C135" s="7" t="inlineStr">
        <is>
          <t>New market</t>
        </is>
      </c>
      <c r="D135" s="7" t="inlineStr">
        <is>
          <t>[title pending] Washington DC matchmaker, article 1 of 1</t>
        </is>
      </c>
      <c r="E135" s="7" t="inlineStr">
        <is>
          <t>washington dc matchmaker</t>
        </is>
      </c>
      <c r="F135" s="16" t="inlineStr">
        <is>
          <t>Owned</t>
        </is>
      </c>
      <c r="G135" s="7" t="inlineStr">
        <is>
          <t>Targets 'washington dc matchmaker', which /washington-dc-matchmaker owns. Improve the landing page instead.</t>
        </is>
      </c>
    </row>
    <row r="136">
      <c r="A136" s="7" t="n">
        <v>135</v>
      </c>
      <c r="B136" s="7" t="inlineStr">
        <is>
          <t>4</t>
        </is>
      </c>
      <c r="C136" s="7" t="inlineStr">
        <is>
          <t>New market</t>
        </is>
      </c>
      <c r="D136" s="7" t="inlineStr">
        <is>
          <t>Phoenix Matchmaker: What the Silicon Desert Changed</t>
        </is>
      </c>
      <c r="E136" s="7" t="inlineStr">
        <is>
          <t>phoenix matchmaker</t>
        </is>
      </c>
      <c r="F136" s="16" t="inlineStr">
        <is>
          <t>Owned</t>
        </is>
      </c>
      <c r="G136" s="7" t="inlineStr">
        <is>
          <t>Targets 'phoenix matchmaker', which /phoenix-matchmaker owns. Improve the landing page instead.</t>
        </is>
      </c>
    </row>
    <row r="137">
      <c r="A137" s="7" t="n">
        <v>136</v>
      </c>
      <c r="B137" s="7" t="inlineStr">
        <is>
          <t>4</t>
        </is>
      </c>
      <c r="C137" s="7" t="inlineStr">
        <is>
          <t>New market</t>
        </is>
      </c>
      <c r="D137" s="7" t="inlineStr">
        <is>
          <t>Minneapolis Matchmaker: Two Social Seasons, One Search</t>
        </is>
      </c>
      <c r="E137" s="7" t="inlineStr">
        <is>
          <t>minneapolis matchmaker</t>
        </is>
      </c>
      <c r="F137" s="16" t="inlineStr">
        <is>
          <t>Owned</t>
        </is>
      </c>
      <c r="G137" s="7" t="inlineStr">
        <is>
          <t>Targets 'minneapolis matchmaker', which /minneapolis-matchmaker owns. Improve the landing page instead.</t>
        </is>
      </c>
    </row>
    <row r="138">
      <c r="A138" s="7" t="n">
        <v>137</v>
      </c>
      <c r="B138" s="7" t="inlineStr">
        <is>
          <t>5</t>
        </is>
      </c>
      <c r="C138" s="7" t="inlineStr">
        <is>
          <t>New market</t>
        </is>
      </c>
      <c r="D138" s="7" t="inlineStr">
        <is>
          <t>[title pending] Oklahoma City matchmaker, article 1 of 1</t>
        </is>
      </c>
      <c r="E138" s="7" t="inlineStr">
        <is>
          <t>oklahoma city matchmaker</t>
        </is>
      </c>
      <c r="F138" s="16" t="inlineStr">
        <is>
          <t>Owned</t>
        </is>
      </c>
      <c r="G138" s="7" t="inlineStr">
        <is>
          <t>Targets 'oklahoma city matchmaker', which /oklahoma-city-matchmaker owns. Improve the landing page instead.</t>
        </is>
      </c>
    </row>
    <row r="139">
      <c r="A139" s="7" t="n">
        <v>138</v>
      </c>
      <c r="B139" s="7" t="inlineStr">
        <is>
          <t>5</t>
        </is>
      </c>
      <c r="C139" s="7" t="inlineStr">
        <is>
          <t>New market</t>
        </is>
      </c>
      <c r="D139" s="7" t="inlineStr">
        <is>
          <t>[title pending] Norfolk matchmaker, article 1 of 1</t>
        </is>
      </c>
      <c r="E139" s="7" t="inlineStr">
        <is>
          <t>norfolk matchmaker</t>
        </is>
      </c>
      <c r="F139" s="9" t="inlineStr">
        <is>
          <t>Month 1</t>
        </is>
      </c>
      <c r="G139" s="7" t="inlineStr">
        <is>
          <t>Month 1 row 48</t>
        </is>
      </c>
    </row>
    <row r="140">
      <c r="A140" s="7" t="n">
        <v>139</v>
      </c>
      <c r="B140" s="7" t="inlineStr">
        <is>
          <t>5</t>
        </is>
      </c>
      <c r="C140" s="7" t="inlineStr">
        <is>
          <t>New market</t>
        </is>
      </c>
      <c r="D140" s="7" t="inlineStr">
        <is>
          <t>[title pending] St. Petersburg matchmaker, article 1 of 1</t>
        </is>
      </c>
      <c r="E140" s="7" t="inlineStr">
        <is>
          <t>st. petersburg matchmaker</t>
        </is>
      </c>
      <c r="F140" s="16" t="inlineStr">
        <is>
          <t>Owned</t>
        </is>
      </c>
      <c r="G140" s="7" t="inlineStr">
        <is>
          <t>The Tampa Bay page ranks ~7-10 for St. Petersburg searches. Add a section there (see 'Already owned').</t>
        </is>
      </c>
    </row>
    <row r="141">
      <c r="A141" s="7" t="n">
        <v>140</v>
      </c>
      <c r="B141" s="7" t="inlineStr">
        <is>
          <t>5</t>
        </is>
      </c>
      <c r="C141" s="7" t="inlineStr">
        <is>
          <t>New market</t>
        </is>
      </c>
      <c r="D141" s="7" t="inlineStr">
        <is>
          <t>[title pending] Raleigh matchmaker, article 1 of 1</t>
        </is>
      </c>
      <c r="E141" s="7" t="inlineStr">
        <is>
          <t>raleigh matchmaker</t>
        </is>
      </c>
      <c r="F141" s="9" t="inlineStr">
        <is>
          <t>Month 1</t>
        </is>
      </c>
      <c r="G141" s="7" t="inlineStr">
        <is>
          <t>Month 1 row 53</t>
        </is>
      </c>
    </row>
    <row r="142">
      <c r="A142" s="7" t="n">
        <v>141</v>
      </c>
      <c r="B142" s="7" t="inlineStr">
        <is>
          <t>5</t>
        </is>
      </c>
      <c r="C142" s="7" t="inlineStr">
        <is>
          <t>New market</t>
        </is>
      </c>
      <c r="D142" s="7" t="inlineStr">
        <is>
          <t>[title pending] New Jersey matchmaker, article 1 of 1</t>
        </is>
      </c>
      <c r="E142" s="7" t="inlineStr">
        <is>
          <t>new jersey matchmaker</t>
        </is>
      </c>
      <c r="F142" s="16" t="inlineStr">
        <is>
          <t>Owned</t>
        </is>
      </c>
      <c r="G142" s="7" t="inlineStr">
        <is>
          <t>Targets 'new jersey matchmaker', which /new-jersey-matchmaker owns. Improve the landing page instead.</t>
        </is>
      </c>
    </row>
    <row r="143">
      <c r="A143" s="7" t="n">
        <v>142</v>
      </c>
      <c r="B143" s="7" t="inlineStr">
        <is>
          <t>5</t>
        </is>
      </c>
      <c r="C143" s="7" t="inlineStr">
        <is>
          <t>New market</t>
        </is>
      </c>
      <c r="D143" s="7" t="inlineStr">
        <is>
          <t>[title pending] Rhode Island matchmaker, article 1 of 1</t>
        </is>
      </c>
      <c r="E143" s="7" t="inlineStr">
        <is>
          <t>rhode island matchmaker</t>
        </is>
      </c>
      <c r="F143" s="16" t="inlineStr">
        <is>
          <t>Owned</t>
        </is>
      </c>
      <c r="G143" s="7" t="inlineStr">
        <is>
          <t>Targets 'rhode island matchmaker', which /rhode-island-matchmaker owns. Improve the landing page instead.</t>
        </is>
      </c>
    </row>
    <row r="144">
      <c r="A144" s="7" t="n">
        <v>143</v>
      </c>
      <c r="B144" s="7" t="inlineStr">
        <is>
          <t>5</t>
        </is>
      </c>
      <c r="C144" s="7" t="inlineStr">
        <is>
          <t>New market</t>
        </is>
      </c>
      <c r="D144" s="7" t="inlineStr">
        <is>
          <t>[title pending] Georgia matchmaker, article 1 of 1</t>
        </is>
      </c>
      <c r="E144" s="7" t="inlineStr">
        <is>
          <t>georgia matchmaker</t>
        </is>
      </c>
      <c r="F144" s="16" t="inlineStr">
        <is>
          <t>Owned</t>
        </is>
      </c>
      <c r="G144" s="7" t="inlineStr">
        <is>
          <t>Targets 'georgia matchmaker', which /georgia-matchmaker owns. Improve the landing page instead.</t>
        </is>
      </c>
    </row>
    <row r="145">
      <c r="A145" s="7" t="n">
        <v>144</v>
      </c>
      <c r="B145" s="7" t="inlineStr">
        <is>
          <t>5</t>
        </is>
      </c>
      <c r="C145" s="7" t="inlineStr">
        <is>
          <t>New market</t>
        </is>
      </c>
      <c r="D145" s="7" t="inlineStr">
        <is>
          <t>[title pending] Utah matchmaker, article 1 of 1</t>
        </is>
      </c>
      <c r="E145" s="7" t="inlineStr">
        <is>
          <t>utah matchmaker</t>
        </is>
      </c>
      <c r="F145" s="16" t="inlineStr">
        <is>
          <t>Owned</t>
        </is>
      </c>
      <c r="G145" s="7" t="inlineStr">
        <is>
          <t>Targets 'utah matchmaker', which /salt-lake-city-matchmaker owns. Improve the landing page instead.</t>
        </is>
      </c>
    </row>
    <row r="146">
      <c r="A146" s="7" t="n">
        <v>145</v>
      </c>
      <c r="B146" s="7" t="inlineStr">
        <is>
          <t>5</t>
        </is>
      </c>
      <c r="C146" s="7" t="inlineStr">
        <is>
          <t>New market</t>
        </is>
      </c>
      <c r="D146" s="7" t="inlineStr">
        <is>
          <t>[title pending] Massachusetts matchmaker, article 1 of 1</t>
        </is>
      </c>
      <c r="E146" s="7" t="inlineStr">
        <is>
          <t>massachusetts matchmaker</t>
        </is>
      </c>
      <c r="F146" s="16" t="inlineStr">
        <is>
          <t>Owned</t>
        </is>
      </c>
      <c r="G146" s="7" t="inlineStr">
        <is>
          <t>Targets 'massachusetts matchmaker', which /massachusetts-matchmaker owns. Improve the landing page instead.</t>
        </is>
      </c>
    </row>
    <row r="147">
      <c r="A147" s="7" t="n">
        <v>146</v>
      </c>
      <c r="B147" s="7" t="inlineStr">
        <is>
          <t>5</t>
        </is>
      </c>
      <c r="C147" s="7" t="inlineStr">
        <is>
          <t>New market</t>
        </is>
      </c>
      <c r="D147" s="7" t="inlineStr">
        <is>
          <t>[title pending] Tennessee matchmaker, article 1 of 1</t>
        </is>
      </c>
      <c r="E147" s="7" t="inlineStr">
        <is>
          <t>tennessee matchmaker</t>
        </is>
      </c>
      <c r="F147" s="16" t="inlineStr">
        <is>
          <t>Owned</t>
        </is>
      </c>
      <c r="G147" s="7" t="inlineStr">
        <is>
          <t>Targets 'tennessee matchmaker', which /tennessee-matchmaker owns. Improve the landing page instead.</t>
        </is>
      </c>
    </row>
    <row r="148">
      <c r="A148" s="7" t="n">
        <v>147</v>
      </c>
      <c r="B148" s="7" t="inlineStr">
        <is>
          <t>5</t>
        </is>
      </c>
      <c r="C148" s="7" t="inlineStr">
        <is>
          <t>New market</t>
        </is>
      </c>
      <c r="D148" s="7" t="inlineStr">
        <is>
          <t>[title pending] Fort Myers matchmaker, article 1 of 1</t>
        </is>
      </c>
      <c r="E148" s="7" t="inlineStr">
        <is>
          <t>fort myers matchmaker</t>
        </is>
      </c>
      <c r="F148" s="16" t="inlineStr">
        <is>
          <t>Owned</t>
        </is>
      </c>
      <c r="G148" s="7" t="inlineStr">
        <is>
          <t>Targets 'fort myers matchmaker', which /fort-myers-matchmaker owns. Improve the landing page instead.</t>
        </is>
      </c>
    </row>
    <row r="149">
      <c r="A149" s="7" t="n">
        <v>148</v>
      </c>
      <c r="B149" s="7" t="inlineStr">
        <is>
          <t>5</t>
        </is>
      </c>
      <c r="C149" s="7" t="inlineStr">
        <is>
          <t>New market</t>
        </is>
      </c>
      <c r="D149" s="7" t="inlineStr">
        <is>
          <t>[title pending] Boca Raton matchmaker, article 1 of 1</t>
        </is>
      </c>
      <c r="E149" s="7" t="inlineStr">
        <is>
          <t>boca raton matchmaker</t>
        </is>
      </c>
      <c r="F149" s="9" t="inlineStr">
        <is>
          <t>Month 1</t>
        </is>
      </c>
      <c r="G149" s="7" t="inlineStr">
        <is>
          <t>Month 1 row 2</t>
        </is>
      </c>
    </row>
    <row r="150">
      <c r="A150" s="7" t="n">
        <v>149</v>
      </c>
      <c r="B150" s="7" t="inlineStr">
        <is>
          <t>5</t>
        </is>
      </c>
      <c r="C150" s="7" t="inlineStr">
        <is>
          <t>New market</t>
        </is>
      </c>
      <c r="D150" s="7" t="inlineStr">
        <is>
          <t>[title pending] Sarasota matchmaker, article 1 of 1</t>
        </is>
      </c>
      <c r="E150" s="7" t="inlineStr">
        <is>
          <t>sarasota matchmaker</t>
        </is>
      </c>
      <c r="F150" s="16" t="inlineStr">
        <is>
          <t>Owned</t>
        </is>
      </c>
      <c r="G150" s="7" t="inlineStr">
        <is>
          <t>Targets 'sarasota matchmaker', which /sarasota-matchmaker owns. Improve the landing page instead.</t>
        </is>
      </c>
    </row>
    <row r="151">
      <c r="A151" s="7" t="n">
        <v>150</v>
      </c>
      <c r="B151" s="7" t="inlineStr">
        <is>
          <t>5</t>
        </is>
      </c>
      <c r="C151" s="7" t="inlineStr">
        <is>
          <t>New market</t>
        </is>
      </c>
      <c r="D151" s="7" t="inlineStr">
        <is>
          <t>[title pending] West Virginia matchmaker, article 1 of 1</t>
        </is>
      </c>
      <c r="E151" s="7" t="inlineStr">
        <is>
          <t>west virginia matchmaker</t>
        </is>
      </c>
      <c r="F151" s="9" t="inlineStr">
        <is>
          <t>Month 1</t>
        </is>
      </c>
      <c r="G151" s="7" t="inlineStr">
        <is>
          <t>Month 1 row 51</t>
        </is>
      </c>
    </row>
    <row r="152">
      <c r="A152" s="7" t="n">
        <v>151</v>
      </c>
      <c r="B152" s="7" t="inlineStr">
        <is>
          <t>5</t>
        </is>
      </c>
      <c r="C152" s="7" t="inlineStr">
        <is>
          <t>New market</t>
        </is>
      </c>
      <c r="D152" s="7" t="inlineStr">
        <is>
          <t>[title pending] Pittsburgh matchmaker, article 1 of 1</t>
        </is>
      </c>
      <c r="E152" s="7" t="inlineStr">
        <is>
          <t>pittsburgh matchmaker</t>
        </is>
      </c>
      <c r="F152" s="9" t="inlineStr">
        <is>
          <t>Month 1</t>
        </is>
      </c>
      <c r="G152" s="7" t="inlineStr">
        <is>
          <t>Month 1 row 49</t>
        </is>
      </c>
    </row>
    <row r="153">
      <c r="A153" s="7" t="n">
        <v>152</v>
      </c>
      <c r="B153" s="7" t="inlineStr">
        <is>
          <t>5</t>
        </is>
      </c>
      <c r="C153" s="7" t="inlineStr">
        <is>
          <t>New market</t>
        </is>
      </c>
      <c r="D153" s="7" t="inlineStr">
        <is>
          <t>[title pending] Long Island matchmaker, article 1 of 1</t>
        </is>
      </c>
      <c r="E153" s="7" t="inlineStr">
        <is>
          <t>long island matchmaker</t>
        </is>
      </c>
      <c r="F153" s="9" t="inlineStr">
        <is>
          <t>Month 1</t>
        </is>
      </c>
      <c r="G153" s="7" t="inlineStr">
        <is>
          <t>Month 1 row 45</t>
        </is>
      </c>
    </row>
    <row r="154">
      <c r="A154" s="7" t="n">
        <v>153</v>
      </c>
      <c r="B154" s="7" t="inlineStr">
        <is>
          <t>5</t>
        </is>
      </c>
      <c r="C154" s="7" t="inlineStr">
        <is>
          <t>New market</t>
        </is>
      </c>
      <c r="D154" s="7" t="inlineStr">
        <is>
          <t>[title pending] Wilmington matchmaker, article 1 of 1</t>
        </is>
      </c>
      <c r="E154" s="7" t="inlineStr">
        <is>
          <t>wilmington matchmaker</t>
        </is>
      </c>
      <c r="F154" s="16" t="inlineStr">
        <is>
          <t>Owned</t>
        </is>
      </c>
      <c r="G154" s="7" t="inlineStr">
        <is>
          <t>The North Carolina page ranks ~10 for Wilmington.</t>
        </is>
      </c>
    </row>
    <row r="155">
      <c r="A155" s="7" t="n">
        <v>154</v>
      </c>
      <c r="B155" s="7" t="inlineStr">
        <is>
          <t>5</t>
        </is>
      </c>
      <c r="C155" s="7" t="inlineStr">
        <is>
          <t>New market</t>
        </is>
      </c>
      <c r="D155" s="7" t="inlineStr">
        <is>
          <t>[title pending] Akron matchmaker, article 1 of 1</t>
        </is>
      </c>
      <c r="E155" s="7" t="inlineStr">
        <is>
          <t>akron matchmaker</t>
        </is>
      </c>
      <c r="F155" s="16" t="inlineStr">
        <is>
          <t>Owned</t>
        </is>
      </c>
      <c r="G155" s="7" t="inlineStr">
        <is>
          <t>The Ohio page ranks ~9 for Akron.</t>
        </is>
      </c>
    </row>
    <row r="156">
      <c r="A156" s="7" t="n">
        <v>155</v>
      </c>
      <c r="B156" s="7" t="inlineStr">
        <is>
          <t>5</t>
        </is>
      </c>
      <c r="C156" s="7" t="inlineStr">
        <is>
          <t>New market</t>
        </is>
      </c>
      <c r="D156" s="7" t="inlineStr">
        <is>
          <t>[title pending] Clearwater matchmaker, article 1 of 1</t>
        </is>
      </c>
      <c r="E156" s="7" t="inlineStr">
        <is>
          <t>clearwater matchmaker</t>
        </is>
      </c>
      <c r="F156" s="16" t="inlineStr">
        <is>
          <t>Owned</t>
        </is>
      </c>
      <c r="G156" s="7" t="inlineStr">
        <is>
          <t>The Tampa Bay page ranks ~7-8 for Clearwater searches. Add a section there.</t>
        </is>
      </c>
    </row>
    <row r="157">
      <c r="A157" s="7" t="n">
        <v>156</v>
      </c>
      <c r="B157" s="7" t="inlineStr">
        <is>
          <t>5</t>
        </is>
      </c>
      <c r="C157" s="7" t="inlineStr">
        <is>
          <t>New market</t>
        </is>
      </c>
      <c r="D157" s="7" t="inlineStr">
        <is>
          <t>[title pending] Irvine matchmaker, article 1 of 1</t>
        </is>
      </c>
      <c r="E157" s="7" t="inlineStr">
        <is>
          <t>irvine matchmaker</t>
        </is>
      </c>
      <c r="F157" s="9" t="inlineStr">
        <is>
          <t>Month 1</t>
        </is>
      </c>
      <c r="G157" s="7" t="inlineStr">
        <is>
          <t>Month 1 row 41</t>
        </is>
      </c>
    </row>
    <row r="158">
      <c r="A158" s="7" t="n">
        <v>157</v>
      </c>
      <c r="B158" s="7" t="inlineStr">
        <is>
          <t>5</t>
        </is>
      </c>
      <c r="C158" s="7" t="inlineStr">
        <is>
          <t>New market</t>
        </is>
      </c>
      <c r="D158" s="7" t="inlineStr">
        <is>
          <t>[title pending] Bergen County matchmaker, article 1 of 1</t>
        </is>
      </c>
      <c r="E158" s="7" t="inlineStr">
        <is>
          <t>bergen county matchmaker</t>
        </is>
      </c>
      <c r="F158" s="9" t="inlineStr">
        <is>
          <t>Month 1</t>
        </is>
      </c>
      <c r="G158" s="7" t="inlineStr">
        <is>
          <t>Month 1 row 47</t>
        </is>
      </c>
    </row>
    <row r="159">
      <c r="A159" s="7" t="n">
        <v>158</v>
      </c>
      <c r="B159" s="7" t="inlineStr">
        <is>
          <t>5</t>
        </is>
      </c>
      <c r="C159" s="7" t="inlineStr">
        <is>
          <t>Service / head term</t>
        </is>
      </c>
      <c r="D159" s="7" t="inlineStr">
        <is>
          <t>What a Matchmaker Does That a Dating Service Does Not</t>
        </is>
      </c>
      <c r="E159" s="7" t="inlineStr">
        <is>
          <t>dating service for professionals</t>
        </is>
      </c>
      <c r="F159" s="10" t="inlineStr">
        <is>
          <t>Already live</t>
        </is>
      </c>
      <c r="G159" s="7" t="inlineStr">
        <is>
          <t>Covered by live post 18714</t>
        </is>
      </c>
    </row>
    <row r="160">
      <c r="A160" s="7" t="n">
        <v>159</v>
      </c>
      <c r="B160" s="7" t="inlineStr">
        <is>
          <t>6</t>
        </is>
      </c>
      <c r="C160" s="7" t="inlineStr">
        <is>
          <t>Service / head term</t>
        </is>
      </c>
      <c r="D160" s="7" t="inlineStr">
        <is>
          <t>Meeting Someone in Person When Your Week Has No Room in It</t>
        </is>
      </c>
      <c r="E160" s="7" t="inlineStr">
        <is>
          <t>in person dating services</t>
        </is>
      </c>
      <c r="F160" s="10" t="inlineStr">
        <is>
          <t>Already live</t>
        </is>
      </c>
      <c r="G160" s="7" t="inlineStr">
        <is>
          <t>Covered by live post 18707</t>
        </is>
      </c>
    </row>
    <row r="161">
      <c r="A161" s="7" t="n">
        <v>160</v>
      </c>
      <c r="B161" s="7" t="inlineStr">
        <is>
          <t>6</t>
        </is>
      </c>
      <c r="C161" s="7" t="inlineStr">
        <is>
          <t>Service / head term</t>
        </is>
      </c>
      <c r="D161" s="7" t="inlineStr">
        <is>
          <t>What You Are Paying a Matchmaker to Advise You On</t>
        </is>
      </c>
      <c r="E161" s="7" t="inlineStr">
        <is>
          <t>professional matchmaking advice</t>
        </is>
      </c>
      <c r="F161" s="10" t="inlineStr">
        <is>
          <t>Already live</t>
        </is>
      </c>
      <c r="G161" s="7" t="inlineStr">
        <is>
          <t>Covered by live post 18703</t>
        </is>
      </c>
    </row>
    <row r="162">
      <c r="A162" s="7" t="n">
        <v>161</v>
      </c>
      <c r="B162" s="7" t="inlineStr">
        <is>
          <t>6</t>
        </is>
      </c>
      <c r="C162" s="7" t="inlineStr">
        <is>
          <t>Service / head term</t>
        </is>
      </c>
      <c r="D162" s="7" t="inlineStr">
        <is>
          <t>Matchmaking Services Built Around One Person's Brief</t>
        </is>
      </c>
      <c r="E162" s="7" t="inlineStr">
        <is>
          <t>personalized dating services</t>
        </is>
      </c>
      <c r="F162" s="10" t="inlineStr">
        <is>
          <t>Already live</t>
        </is>
      </c>
      <c r="G162" s="7" t="inlineStr">
        <is>
          <t>Covered by live post 18712</t>
        </is>
      </c>
    </row>
    <row r="163">
      <c r="A163" s="7" t="n">
        <v>162</v>
      </c>
      <c r="B163" s="7" t="inlineStr">
        <is>
          <t>6</t>
        </is>
      </c>
      <c r="C163" s="7" t="inlineStr">
        <is>
          <t>Service / head term</t>
        </is>
      </c>
      <c r="D163" s="7" t="inlineStr">
        <is>
          <t>What an Exclusive Dating Service Will Not Tell You Upfront</t>
        </is>
      </c>
      <c r="E163" s="7" t="inlineStr">
        <is>
          <t>exclusive dating services</t>
        </is>
      </c>
      <c r="F163" s="10" t="inlineStr">
        <is>
          <t>Already live</t>
        </is>
      </c>
      <c r="G163" s="7" t="inlineStr">
        <is>
          <t>Covered by live post 18716</t>
        </is>
      </c>
    </row>
    <row r="164">
      <c r="A164" s="7" t="n">
        <v>163</v>
      </c>
      <c r="B164" s="7" t="inlineStr">
        <is>
          <t>6</t>
        </is>
      </c>
      <c r="C164" s="7" t="inlineStr">
        <is>
          <t>Service / head term</t>
        </is>
      </c>
      <c r="D164" s="7" t="inlineStr">
        <is>
          <t>Matchmaking Agency or Matchmaker: What the Word Agency Changes</t>
        </is>
      </c>
      <c r="E164" s="7" t="inlineStr">
        <is>
          <t>matchmakers dating agency</t>
        </is>
      </c>
      <c r="F164" s="10" t="inlineStr">
        <is>
          <t>Already live</t>
        </is>
      </c>
      <c r="G164" s="7" t="inlineStr">
        <is>
          <t>Covered by live post 18701</t>
        </is>
      </c>
    </row>
    <row r="165">
      <c r="A165" s="7" t="n">
        <v>164</v>
      </c>
      <c r="B165" s="7" t="inlineStr">
        <is>
          <t>6</t>
        </is>
      </c>
      <c r="C165" s="7" t="inlineStr">
        <is>
          <t>Service / head term</t>
        </is>
      </c>
      <c r="D165" s="7" t="inlineStr">
        <is>
          <t>Why Work With a Professional Matchmaker at All</t>
        </is>
      </c>
      <c r="E165" s="7" t="inlineStr">
        <is>
          <t>why work with a professional matchmaker</t>
        </is>
      </c>
      <c r="F165" s="10" t="inlineStr">
        <is>
          <t>Already live</t>
        </is>
      </c>
      <c r="G165" s="7" t="inlineStr">
        <is>
          <t>Covered by live post 18620</t>
        </is>
      </c>
    </row>
    <row r="166">
      <c r="A166" s="7" t="n">
        <v>165</v>
      </c>
      <c r="B166" s="7" t="inlineStr">
        <is>
          <t>6</t>
        </is>
      </c>
      <c r="C166" s="7" t="inlineStr">
        <is>
          <t>Service / head term</t>
        </is>
      </c>
      <c r="D166" s="7" t="inlineStr">
        <is>
          <t>What One-on-One Intake Actually Involves</t>
        </is>
      </c>
      <c r="E166" s="7" t="inlineStr">
        <is>
          <t>what kinds of matchmaking firms provide one-on-one intake</t>
        </is>
      </c>
      <c r="F166" s="10" t="inlineStr">
        <is>
          <t>Already live</t>
        </is>
      </c>
      <c r="G166" s="7" t="inlineStr">
        <is>
          <t>Covered by live post 18710</t>
        </is>
      </c>
    </row>
    <row r="167">
      <c r="A167" s="7" t="n">
        <v>166</v>
      </c>
      <c r="B167" s="7" t="inlineStr">
        <is>
          <t>6</t>
        </is>
      </c>
      <c r="C167" s="7" t="inlineStr">
        <is>
          <t>Service / head term</t>
        </is>
      </c>
      <c r="D167" s="7" t="inlineStr">
        <is>
          <t>What Makes a Matchmaker Professional Rather Than Well Connected</t>
        </is>
      </c>
      <c r="E167" s="7" t="inlineStr">
        <is>
          <t>what is a professional matchmaker</t>
        </is>
      </c>
      <c r="F167" s="10" t="inlineStr">
        <is>
          <t>Already live</t>
        </is>
      </c>
      <c r="G167" s="7" t="inlineStr">
        <is>
          <t>Covered by live post 18595</t>
        </is>
      </c>
    </row>
    <row r="168">
      <c r="A168" s="7" t="n">
        <v>167</v>
      </c>
      <c r="B168" s="7" t="inlineStr">
        <is>
          <t>6</t>
        </is>
      </c>
      <c r="C168" s="7" t="inlineStr">
        <is>
          <t>Service / head term</t>
        </is>
      </c>
      <c r="D168" s="7" t="inlineStr">
        <is>
          <t>Matchmaking That Is Tailored Rather Than Sorted</t>
        </is>
      </c>
      <c r="E168" s="7" t="inlineStr">
        <is>
          <t>tailored matchmaking</t>
        </is>
      </c>
      <c r="F168" s="10" t="inlineStr">
        <is>
          <t>Already live</t>
        </is>
      </c>
      <c r="G168" s="7" t="inlineStr">
        <is>
          <t>Covered by live post 18712</t>
        </is>
      </c>
    </row>
    <row r="169">
      <c r="A169" s="7" t="n">
        <v>168</v>
      </c>
      <c r="B169" s="7" t="inlineStr">
        <is>
          <t>6</t>
        </is>
      </c>
      <c r="C169" s="7" t="inlineStr">
        <is>
          <t>Carried from Q1</t>
        </is>
      </c>
      <c r="D169" s="7" t="inlineStr">
        <is>
          <t>Christian Matchmaking: What to Know</t>
        </is>
      </c>
      <c r="E169" s="7" t="inlineStr">
        <is>
          <t>christian matchmaking</t>
        </is>
      </c>
      <c r="F169" s="10" t="inlineStr">
        <is>
          <t>Already live</t>
        </is>
      </c>
      <c r="G169" s="7" t="inlineStr">
        <is>
          <t>Covered by live post 18728</t>
        </is>
      </c>
    </row>
    <row r="170">
      <c r="A170" s="7" t="n">
        <v>169</v>
      </c>
      <c r="B170" s="7" t="inlineStr">
        <is>
          <t>6</t>
        </is>
      </c>
      <c r="C170" s="7" t="inlineStr">
        <is>
          <t>Carried from Q1</t>
        </is>
      </c>
      <c r="D170" s="7" t="inlineStr">
        <is>
          <t>Matchmakers for Physicians and Doctors</t>
        </is>
      </c>
      <c r="E170" s="7" t="inlineStr">
        <is>
          <t>matchmakers for physicians</t>
        </is>
      </c>
      <c r="F170" s="10" t="inlineStr">
        <is>
          <t>Already live</t>
        </is>
      </c>
      <c r="G170" s="7" t="inlineStr">
        <is>
          <t>Covered by live post 18726</t>
        </is>
      </c>
    </row>
    <row r="171">
      <c r="A171" s="7" t="n">
        <v>170</v>
      </c>
      <c r="B171" s="7" t="inlineStr">
        <is>
          <t>6</t>
        </is>
      </c>
      <c r="C171" s="7" t="inlineStr">
        <is>
          <t>Carried from Q1</t>
        </is>
      </c>
      <c r="D171" s="7" t="inlineStr">
        <is>
          <t>Matchmaking for Entrepreneurs and Founders</t>
        </is>
      </c>
      <c r="E171" s="7" t="inlineStr">
        <is>
          <t>matchmaking for entrepreneurs</t>
        </is>
      </c>
      <c r="F171" s="10" t="inlineStr">
        <is>
          <t>Already live</t>
        </is>
      </c>
      <c r="G171" s="7" t="inlineStr">
        <is>
          <t>Covered by live post 18685</t>
        </is>
      </c>
    </row>
    <row r="172">
      <c r="A172" s="7" t="n">
        <v>171</v>
      </c>
      <c r="B172" s="7" t="inlineStr">
        <is>
          <t>6</t>
        </is>
      </c>
      <c r="C172" s="7" t="inlineStr">
        <is>
          <t>Carried from Q1</t>
        </is>
      </c>
      <c r="D172" s="7" t="inlineStr">
        <is>
          <t>Fresno Matchmaker</t>
        </is>
      </c>
      <c r="E172" s="7" t="inlineStr">
        <is>
          <t>fresno matchmaker</t>
        </is>
      </c>
      <c r="F172" s="10" t="inlineStr">
        <is>
          <t>Already live</t>
        </is>
      </c>
      <c r="G172" s="7" t="inlineStr">
        <is>
          <t>Covered by live post 18729</t>
        </is>
      </c>
    </row>
    <row r="173">
      <c r="A173" s="7" t="n">
        <v>172</v>
      </c>
      <c r="B173" s="7" t="inlineStr">
        <is>
          <t>6</t>
        </is>
      </c>
      <c r="C173" s="7" t="inlineStr">
        <is>
          <t>Sub-market</t>
        </is>
      </c>
      <c r="D173" s="7" t="inlineStr">
        <is>
          <t>[title pending] Brentwood matchmaker (Los Angeles)</t>
        </is>
      </c>
      <c r="E173" s="7" t="inlineStr">
        <is>
          <t>brentwood matchmaker</t>
        </is>
      </c>
      <c r="F173" s="15" t="inlineStr">
        <is>
          <t>Pipeline</t>
        </is>
      </c>
      <c r="G173" s="7" t="inlineStr">
        <is>
          <t>Months 2-3 pipeline: Brentwood (LA)</t>
        </is>
      </c>
    </row>
    <row r="174">
      <c r="A174" s="7" t="n">
        <v>173</v>
      </c>
      <c r="B174" s="7" t="inlineStr">
        <is>
          <t>6</t>
        </is>
      </c>
      <c r="C174" s="7" t="inlineStr">
        <is>
          <t>Sub-market</t>
        </is>
      </c>
      <c r="D174" s="7" t="inlineStr">
        <is>
          <t>[title pending] Pasadena matchmaker (Los Angeles)</t>
        </is>
      </c>
      <c r="E174" s="7" t="inlineStr">
        <is>
          <t>pasadena matchmaker</t>
        </is>
      </c>
      <c r="F174" s="15" t="inlineStr">
        <is>
          <t>Pipeline</t>
        </is>
      </c>
      <c r="G174" s="7" t="inlineStr">
        <is>
          <t>Months 2-3 pipeline: Pasadena</t>
        </is>
      </c>
    </row>
    <row r="175">
      <c r="A175" s="7" t="n">
        <v>174</v>
      </c>
      <c r="B175" s="7" t="inlineStr">
        <is>
          <t>6</t>
        </is>
      </c>
      <c r="C175" s="7" t="inlineStr">
        <is>
          <t>Sub-market</t>
        </is>
      </c>
      <c r="D175" s="7" t="inlineStr">
        <is>
          <t>[title pending] Rancho Santa Fe matchmaker (San Diego)</t>
        </is>
      </c>
      <c r="E175" s="7" t="inlineStr">
        <is>
          <t>rancho santa fe matchmaker</t>
        </is>
      </c>
      <c r="F175" s="15" t="inlineStr">
        <is>
          <t>Pipeline</t>
        </is>
      </c>
      <c r="G175" s="7" t="inlineStr">
        <is>
          <t>Months 2-3 pipeline: Rancho Santa Fe</t>
        </is>
      </c>
    </row>
    <row r="176">
      <c r="A176" s="7" t="n">
        <v>175</v>
      </c>
      <c r="B176" s="7" t="inlineStr">
        <is>
          <t>6</t>
        </is>
      </c>
      <c r="C176" s="7" t="inlineStr">
        <is>
          <t>Sub-market</t>
        </is>
      </c>
      <c r="D176" s="7" t="inlineStr">
        <is>
          <t>[title pending] Coronado matchmaker (San Diego)</t>
        </is>
      </c>
      <c r="E176" s="7" t="inlineStr">
        <is>
          <t>coronado matchmaker</t>
        </is>
      </c>
      <c r="F176" s="15" t="inlineStr">
        <is>
          <t>Pipeline</t>
        </is>
      </c>
      <c r="G176" s="7" t="inlineStr">
        <is>
          <t>Months 2-3 pipeline: Coronado</t>
        </is>
      </c>
    </row>
    <row r="177">
      <c r="A177" s="7" t="n">
        <v>176</v>
      </c>
      <c r="B177" s="7" t="inlineStr">
        <is>
          <t>6</t>
        </is>
      </c>
      <c r="C177" s="7" t="inlineStr">
        <is>
          <t>Sub-market</t>
        </is>
      </c>
      <c r="D177" s="7" t="inlineStr">
        <is>
          <t>[title pending] Coral Gables matchmaker (Miami)</t>
        </is>
      </c>
      <c r="E177" s="7" t="inlineStr">
        <is>
          <t>coral gables matchmaker</t>
        </is>
      </c>
      <c r="F177" s="9" t="inlineStr">
        <is>
          <t>Month 1</t>
        </is>
      </c>
      <c r="G177" s="7" t="inlineStr">
        <is>
          <t>Month 1 row 7</t>
        </is>
      </c>
    </row>
    <row r="178">
      <c r="A178" s="7" t="n">
        <v>177</v>
      </c>
      <c r="B178" s="7" t="inlineStr">
        <is>
          <t>6</t>
        </is>
      </c>
      <c r="C178" s="7" t="inlineStr">
        <is>
          <t>Sub-market</t>
        </is>
      </c>
      <c r="D178" s="7" t="inlineStr">
        <is>
          <t>[title pending] Key Biscayne matchmaker (Miami)</t>
        </is>
      </c>
      <c r="E178" s="7" t="inlineStr">
        <is>
          <t>key biscayne matchmaker</t>
        </is>
      </c>
      <c r="F178" s="9" t="inlineStr">
        <is>
          <t>Month 1</t>
        </is>
      </c>
      <c r="G178" s="7" t="inlineStr">
        <is>
          <t>Month 1 row 8</t>
        </is>
      </c>
    </row>
    <row r="179">
      <c r="A179" s="7" t="n">
        <v>178</v>
      </c>
      <c r="B179" s="7" t="inlineStr">
        <is>
          <t>6</t>
        </is>
      </c>
      <c r="C179" s="7" t="inlineStr">
        <is>
          <t>Sub-market</t>
        </is>
      </c>
      <c r="D179" s="7" t="inlineStr">
        <is>
          <t>[title pending] Main Line matchmaker (Philadelphia)</t>
        </is>
      </c>
      <c r="E179" s="7" t="inlineStr">
        <is>
          <t>main line matchmaker</t>
        </is>
      </c>
      <c r="F179" s="16" t="inlineStr">
        <is>
          <t>Owned</t>
        </is>
      </c>
      <c r="G179" s="7" t="inlineStr">
        <is>
          <t>The Philadelphia page ranks ~6 for Main Line.</t>
        </is>
      </c>
    </row>
    <row r="180">
      <c r="A180" s="7" t="n">
        <v>179</v>
      </c>
      <c r="B180" s="7" t="inlineStr">
        <is>
          <t>6</t>
        </is>
      </c>
      <c r="C180" s="7" t="inlineStr">
        <is>
          <t>Sub-market</t>
        </is>
      </c>
      <c r="D180" s="7" t="inlineStr">
        <is>
          <t>[title pending] Preston Hollow matchmaker (Dallas)</t>
        </is>
      </c>
      <c r="E180" s="7" t="inlineStr">
        <is>
          <t>preston hollow matchmaker</t>
        </is>
      </c>
      <c r="F180" s="15" t="inlineStr">
        <is>
          <t>Pipeline</t>
        </is>
      </c>
      <c r="G180" s="7" t="inlineStr">
        <is>
          <t>Months 2-3 pipeline: Preston Hollow</t>
        </is>
      </c>
    </row>
    <row r="181">
      <c r="A181" s="7" t="n">
        <v>180</v>
      </c>
      <c r="B181" s="7" t="inlineStr">
        <is>
          <t>6</t>
        </is>
      </c>
      <c r="C181" s="7" t="inlineStr">
        <is>
          <t>Sub-market</t>
        </is>
      </c>
      <c r="D181" s="7" t="inlineStr">
        <is>
          <t>[title pending] Cherry Creek matchmaker (Denver)</t>
        </is>
      </c>
      <c r="E181" s="7" t="inlineStr">
        <is>
          <t>cherry creek matchmaker</t>
        </is>
      </c>
      <c r="F181" s="15" t="inlineStr">
        <is>
          <t>Pipeline</t>
        </is>
      </c>
      <c r="G181" s="7" t="inlineStr">
        <is>
          <t>Months 2-3 pipeline: Cherry Creek</t>
        </is>
      </c>
    </row>
  </sheetData>
  <autoFilter ref="A1:G18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34"/>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00" customWidth="1" min="1" max="1"/>
    <col width="14" customWidth="1" min="2" max="2"/>
    <col width="12" customWidth="1" min="3" max="3"/>
    <col width="12" customWidth="1" min="4" max="4"/>
  </cols>
  <sheetData>
    <row r="1" ht="32" customHeight="1">
      <c r="A1" s="6" t="inlineStr">
        <is>
          <t>Page</t>
        </is>
      </c>
      <c r="B1" s="6" t="inlineStr">
        <is>
          <t>Impressions, 90d</t>
        </is>
      </c>
      <c r="C1" s="6" t="inlineStr">
        <is>
          <t>Clicks, 90d</t>
        </is>
      </c>
      <c r="D1" s="6" t="inlineStr">
        <is>
          <t>Avg position</t>
        </is>
      </c>
    </row>
    <row r="2">
      <c r="A2" s="7" t="inlineStr">
        <is>
          <t>/</t>
        </is>
      </c>
      <c r="B2" s="8" t="n">
        <v>43158</v>
      </c>
      <c r="C2" s="7" t="n">
        <v>764</v>
      </c>
      <c r="D2" s="7" t="n">
        <v>21.4</v>
      </c>
    </row>
    <row r="3">
      <c r="A3" s="7" t="inlineStr">
        <is>
          <t>/california-matchmaker</t>
        </is>
      </c>
      <c r="B3" s="8" t="n">
        <v>16614</v>
      </c>
      <c r="C3" s="7" t="n">
        <v>24</v>
      </c>
      <c r="D3" s="7" t="n">
        <v>33.3</v>
      </c>
    </row>
    <row r="4">
      <c r="A4" s="7" t="inlineStr">
        <is>
          <t>/los-angeles-matchmaker</t>
        </is>
      </c>
      <c r="B4" s="8" t="n">
        <v>10686</v>
      </c>
      <c r="C4" s="7" t="n">
        <v>12</v>
      </c>
      <c r="D4" s="7" t="n">
        <v>31.1</v>
      </c>
    </row>
    <row r="5">
      <c r="A5" s="7" t="inlineStr">
        <is>
          <t>/tv-media/blogs/id/18646/the-matchmaking-company-reviews-alternatives-2026</t>
        </is>
      </c>
      <c r="B5" s="8" t="n">
        <v>7616</v>
      </c>
      <c r="C5" s="7" t="n">
        <v>100</v>
      </c>
      <c r="D5" s="7" t="n">
        <v>7.5</v>
      </c>
    </row>
    <row r="6">
      <c r="A6" s="7" t="inlineStr">
        <is>
          <t>/new-york-matchmaker</t>
        </is>
      </c>
      <c r="B6" s="8" t="n">
        <v>7320</v>
      </c>
      <c r="C6" s="7" t="n">
        <v>10</v>
      </c>
      <c r="D6" s="7" t="n">
        <v>15.5</v>
      </c>
    </row>
    <row r="7">
      <c r="A7" s="7" t="inlineStr">
        <is>
          <t>/tv-media/blogs/id/18645/selective-search-reviews-alternatives-2026</t>
        </is>
      </c>
      <c r="B7" s="8" t="n">
        <v>7157</v>
      </c>
      <c r="C7" s="7" t="n">
        <v>32</v>
      </c>
      <c r="D7" s="7" t="n">
        <v>7.7</v>
      </c>
    </row>
    <row r="8">
      <c r="A8" s="7" t="inlineStr">
        <is>
          <t>/florida-matchmaker</t>
        </is>
      </c>
      <c r="B8" s="8" t="n">
        <v>6474</v>
      </c>
      <c r="C8" s="7" t="n">
        <v>40</v>
      </c>
      <c r="D8" s="7" t="n">
        <v>18.9</v>
      </c>
    </row>
    <row r="9">
      <c r="A9" s="7" t="inlineStr">
        <is>
          <t>/tv-media/blogs/id/18572/tawkify-reviews-is-it-worth-it-in-2026</t>
        </is>
      </c>
      <c r="B9" s="8" t="n">
        <v>5734</v>
      </c>
      <c r="C9" s="7" t="n">
        <v>43</v>
      </c>
      <c r="D9" s="7" t="n">
        <v>9.4</v>
      </c>
    </row>
    <row r="10">
      <c r="A10" s="7" t="inlineStr">
        <is>
          <t>/colorado-matchmaker</t>
        </is>
      </c>
      <c r="B10" s="8" t="n">
        <v>5647</v>
      </c>
      <c r="C10" s="7" t="n">
        <v>23</v>
      </c>
      <c r="D10" s="7" t="n">
        <v>27.5</v>
      </c>
    </row>
    <row r="11">
      <c r="A11" s="7" t="inlineStr">
        <is>
          <t>/tv-media/blogs/id/18644/three-day-rule-reviews-alternatives-2026</t>
        </is>
      </c>
      <c r="B11" s="8" t="n">
        <v>5618</v>
      </c>
      <c r="C11" s="7" t="n">
        <v>24</v>
      </c>
      <c r="D11" s="7" t="n">
        <v>9.800000000000001</v>
      </c>
    </row>
    <row r="12">
      <c r="A12" s="7" t="inlineStr">
        <is>
          <t>/austin-matchmaker</t>
        </is>
      </c>
      <c r="B12" s="8" t="n">
        <v>5551</v>
      </c>
      <c r="C12" s="7" t="n">
        <v>6</v>
      </c>
      <c r="D12" s="7" t="n">
        <v>16.7</v>
      </c>
    </row>
    <row r="13">
      <c r="A13" s="7" t="inlineStr">
        <is>
          <t>/dallas-matchmaker</t>
        </is>
      </c>
      <c r="B13" s="8" t="n">
        <v>5540</v>
      </c>
      <c r="C13" s="7" t="n">
        <v>20</v>
      </c>
      <c r="D13" s="7" t="n">
        <v>24.4</v>
      </c>
    </row>
    <row r="14">
      <c r="A14" s="7" t="inlineStr">
        <is>
          <t>/Texas-Matchmaker</t>
        </is>
      </c>
      <c r="B14" s="8" t="n">
        <v>5462</v>
      </c>
      <c r="C14" s="7" t="n">
        <v>30</v>
      </c>
      <c r="D14" s="7" t="n">
        <v>43.8</v>
      </c>
    </row>
    <row r="15">
      <c r="A15" s="7" t="inlineStr">
        <is>
          <t>/san-francisco-matchmaker</t>
        </is>
      </c>
      <c r="B15" s="8" t="n">
        <v>5147</v>
      </c>
      <c r="C15" s="7" t="n">
        <v>12</v>
      </c>
      <c r="D15" s="7" t="n">
        <v>18.4</v>
      </c>
    </row>
    <row r="16">
      <c r="A16" s="7" t="inlineStr">
        <is>
          <t>/michigan-matchmaker</t>
        </is>
      </c>
      <c r="B16" s="8" t="n">
        <v>5072</v>
      </c>
      <c r="C16" s="7" t="n">
        <v>105</v>
      </c>
      <c r="D16" s="7" t="n">
        <v>16.8</v>
      </c>
    </row>
    <row r="17">
      <c r="A17" s="7" t="inlineStr">
        <is>
          <t>/chicago-matchmaker</t>
        </is>
      </c>
      <c r="B17" s="8" t="n">
        <v>4955</v>
      </c>
      <c r="C17" s="7" t="n">
        <v>21</v>
      </c>
      <c r="D17" s="7" t="n">
        <v>18.9</v>
      </c>
    </row>
    <row r="18">
      <c r="A18" s="7" t="inlineStr">
        <is>
          <t>/tv-media/blogs/id/18621/kelleher-international-reviews-alternatives-2026</t>
        </is>
      </c>
      <c r="B18" s="8" t="n">
        <v>4920</v>
      </c>
      <c r="C18" s="7" t="n">
        <v>19</v>
      </c>
      <c r="D18" s="7" t="n">
        <v>8.1</v>
      </c>
    </row>
    <row r="19">
      <c r="A19" s="7" t="inlineStr">
        <is>
          <t>/tv-media/blogs/id/18598/how-much-does-a-matchmaker-cost-2026</t>
        </is>
      </c>
      <c r="B19" s="8" t="n">
        <v>4840</v>
      </c>
      <c r="C19" s="7" t="n">
        <v>39</v>
      </c>
      <c r="D19" s="7" t="n">
        <v>10.8</v>
      </c>
    </row>
    <row r="20">
      <c r="A20" s="7" t="inlineStr">
        <is>
          <t>/philadelphia-matchmaker</t>
        </is>
      </c>
      <c r="B20" s="8" t="n">
        <v>4636</v>
      </c>
      <c r="C20" s="7" t="n">
        <v>21</v>
      </c>
      <c r="D20" s="7" t="n">
        <v>12.7</v>
      </c>
    </row>
    <row r="21">
      <c r="A21" s="7" t="inlineStr">
        <is>
          <t>/boston-matchmaker</t>
        </is>
      </c>
      <c r="B21" s="8" t="n">
        <v>4361</v>
      </c>
      <c r="C21" s="7" t="n">
        <v>10</v>
      </c>
      <c r="D21" s="7" t="n">
        <v>14.5</v>
      </c>
    </row>
    <row r="22">
      <c r="A22" s="7" t="inlineStr">
        <is>
          <t>/north-carolina-matchmaker</t>
        </is>
      </c>
      <c r="B22" s="8" t="n">
        <v>4013</v>
      </c>
      <c r="C22" s="7" t="n">
        <v>57</v>
      </c>
      <c r="D22" s="7" t="n">
        <v>10.2</v>
      </c>
    </row>
    <row r="23">
      <c r="A23" s="7" t="inlineStr">
        <is>
          <t>/tv-media/blogs/id/18589/how-to-choose-the-right-matchmaker</t>
        </is>
      </c>
      <c r="B23" s="8" t="n">
        <v>3968</v>
      </c>
      <c r="C23" s="7" t="n">
        <v>5</v>
      </c>
      <c r="D23" s="7" t="n">
        <v>11.1</v>
      </c>
    </row>
    <row r="24">
      <c r="A24" s="7" t="inlineStr">
        <is>
          <t>/tv-media/blogs/id/18635/cinqe-matchmaking-reviews-alternatives-2026</t>
        </is>
      </c>
      <c r="B24" s="8" t="n">
        <v>3928</v>
      </c>
      <c r="C24" s="7" t="n">
        <v>63</v>
      </c>
      <c r="D24" s="7" t="n">
        <v>6.2</v>
      </c>
    </row>
    <row r="25">
      <c r="A25" s="7" t="inlineStr">
        <is>
          <t>/ohio-matchmaker</t>
        </is>
      </c>
      <c r="B25" s="8" t="n">
        <v>3894</v>
      </c>
      <c r="C25" s="7" t="n">
        <v>81</v>
      </c>
      <c r="D25" s="7" t="n">
        <v>8.5</v>
      </c>
    </row>
    <row r="26">
      <c r="A26" s="7" t="inlineStr">
        <is>
          <t>/maryland-matchmaker</t>
        </is>
      </c>
      <c r="B26" s="8" t="n">
        <v>3767</v>
      </c>
      <c r="C26" s="7" t="n">
        <v>36</v>
      </c>
      <c r="D26" s="7" t="n">
        <v>13.7</v>
      </c>
    </row>
    <row r="27">
      <c r="A27" s="7" t="inlineStr">
        <is>
          <t>/oklahoma-city-matchmaker</t>
        </is>
      </c>
      <c r="B27" s="8" t="n">
        <v>3730</v>
      </c>
      <c r="C27" s="7" t="n">
        <v>5</v>
      </c>
      <c r="D27" s="7" t="n">
        <v>37.8</v>
      </c>
    </row>
    <row r="28">
      <c r="A28" s="7" t="inlineStr">
        <is>
          <t>/pennsylvania-matchmaker</t>
        </is>
      </c>
      <c r="B28" s="8" t="n">
        <v>3719</v>
      </c>
      <c r="C28" s="7" t="n">
        <v>68</v>
      </c>
      <c r="D28" s="7" t="n">
        <v>11.9</v>
      </c>
    </row>
    <row r="29">
      <c r="A29" s="7" t="inlineStr">
        <is>
          <t>/washington-dc-matchmaker</t>
        </is>
      </c>
      <c r="B29" s="8" t="n">
        <v>3719</v>
      </c>
      <c r="C29" s="7" t="n">
        <v>11</v>
      </c>
      <c r="D29" s="7" t="n">
        <v>14</v>
      </c>
    </row>
    <row r="30">
      <c r="A30" s="7" t="inlineStr">
        <is>
          <t>/atlanta-matchmaker</t>
        </is>
      </c>
      <c r="B30" s="8" t="n">
        <v>3713</v>
      </c>
      <c r="C30" s="7" t="n">
        <v>10</v>
      </c>
      <c r="D30" s="7" t="n">
        <v>21.3</v>
      </c>
    </row>
    <row r="31">
      <c r="A31" s="7" t="inlineStr">
        <is>
          <t>/nationwide-matchmaker</t>
        </is>
      </c>
      <c r="B31" s="8" t="n">
        <v>3703</v>
      </c>
      <c r="C31" s="7" t="n">
        <v>8</v>
      </c>
      <c r="D31" s="7" t="n">
        <v>28.1</v>
      </c>
    </row>
    <row r="32">
      <c r="A32" s="7" t="inlineStr">
        <is>
          <t>/pricing</t>
        </is>
      </c>
      <c r="B32" s="8" t="n">
        <v>3700</v>
      </c>
      <c r="C32" s="7" t="n">
        <v>81</v>
      </c>
      <c r="D32" s="7" t="n">
        <v>5.7</v>
      </c>
    </row>
    <row r="33">
      <c r="A33" s="7" t="inlineStr">
        <is>
          <t>/tv-media/blogs/id/18629/best-luxury-matchmaking-services-2026</t>
        </is>
      </c>
      <c r="B33" s="8" t="n">
        <v>3644</v>
      </c>
      <c r="C33" s="7" t="n">
        <v>16</v>
      </c>
      <c r="D33" s="7" t="n">
        <v>12.8</v>
      </c>
    </row>
    <row r="34">
      <c r="A34" s="7" t="inlineStr">
        <is>
          <t>/massachusetts-matchmaker</t>
        </is>
      </c>
      <c r="B34" s="8" t="n">
        <v>3609</v>
      </c>
      <c r="C34" s="7" t="n">
        <v>41</v>
      </c>
      <c r="D34" s="7" t="n">
        <v>23.7</v>
      </c>
    </row>
    <row r="35">
      <c r="A35" s="7" t="inlineStr">
        <is>
          <t>/san-antonio-matchmaker</t>
        </is>
      </c>
      <c r="B35" s="8" t="n">
        <v>3572</v>
      </c>
      <c r="C35" s="7" t="n">
        <v>5</v>
      </c>
      <c r="D35" s="7" t="n">
        <v>25</v>
      </c>
    </row>
    <row r="36">
      <c r="A36" s="7" t="inlineStr">
        <is>
          <t>/san-diego-matchmaker</t>
        </is>
      </c>
      <c r="B36" s="8" t="n">
        <v>3310</v>
      </c>
      <c r="C36" s="7" t="n">
        <v>3</v>
      </c>
      <c r="D36" s="7" t="n">
        <v>18.2</v>
      </c>
    </row>
    <row r="37">
      <c r="A37" s="7" t="inlineStr">
        <is>
          <t>/About-Us</t>
        </is>
      </c>
      <c r="B37" s="8" t="n">
        <v>3224</v>
      </c>
      <c r="C37" s="7" t="n">
        <v>103</v>
      </c>
      <c r="D37" s="7" t="n">
        <v>8.4</v>
      </c>
    </row>
    <row r="38">
      <c r="A38" s="7" t="inlineStr">
        <is>
          <t>/illinois-matchmaker</t>
        </is>
      </c>
      <c r="B38" s="8" t="n">
        <v>3212</v>
      </c>
      <c r="C38" s="7" t="n">
        <v>31</v>
      </c>
      <c r="D38" s="7" t="n">
        <v>22.5</v>
      </c>
    </row>
    <row r="39">
      <c r="A39" s="7" t="inlineStr">
        <is>
          <t>/tampa-bay-matchmaker</t>
        </is>
      </c>
      <c r="B39" s="8" t="n">
        <v>3193</v>
      </c>
      <c r="C39" s="7" t="n">
        <v>14</v>
      </c>
      <c r="D39" s="7" t="n">
        <v>10.3</v>
      </c>
    </row>
    <row r="40">
      <c r="A40" s="7" t="inlineStr">
        <is>
          <t>/new-jersey-matchmaker</t>
        </is>
      </c>
      <c r="B40" s="8" t="n">
        <v>3154</v>
      </c>
      <c r="C40" s="7" t="n">
        <v>40</v>
      </c>
      <c r="D40" s="7" t="n">
        <v>9.199999999999999</v>
      </c>
    </row>
    <row r="41">
      <c r="A41" s="7" t="inlineStr">
        <is>
          <t>/Virginia-Matchmaker</t>
        </is>
      </c>
      <c r="B41" s="8" t="n">
        <v>3100</v>
      </c>
      <c r="C41" s="7" t="n">
        <v>71</v>
      </c>
      <c r="D41" s="7" t="n">
        <v>9.4</v>
      </c>
    </row>
    <row r="42">
      <c r="A42" s="7" t="inlineStr">
        <is>
          <t>/stevenbward</t>
        </is>
      </c>
      <c r="B42" s="8" t="n">
        <v>3100</v>
      </c>
      <c r="C42" s="7" t="n">
        <v>39</v>
      </c>
      <c r="D42" s="7" t="n">
        <v>5.9</v>
      </c>
    </row>
    <row r="43">
      <c r="A43" s="7" t="inlineStr">
        <is>
          <t>/seattle-matchmaker</t>
        </is>
      </c>
      <c r="B43" s="8" t="n">
        <v>3064</v>
      </c>
      <c r="C43" s="7" t="n">
        <v>9</v>
      </c>
      <c r="D43" s="7" t="n">
        <v>19</v>
      </c>
    </row>
    <row r="44">
      <c r="A44" s="7" t="inlineStr">
        <is>
          <t>/st-louis-matchmaker</t>
        </is>
      </c>
      <c r="B44" s="8" t="n">
        <v>3054</v>
      </c>
      <c r="C44" s="7" t="n">
        <v>19</v>
      </c>
      <c r="D44" s="7" t="n">
        <v>11</v>
      </c>
    </row>
    <row r="45">
      <c r="A45" s="7" t="inlineStr">
        <is>
          <t>/minneapolis-matchmaker</t>
        </is>
      </c>
      <c r="B45" s="8" t="n">
        <v>2903</v>
      </c>
      <c r="C45" s="7" t="n">
        <v>7</v>
      </c>
      <c r="D45" s="7" t="n">
        <v>37</v>
      </c>
    </row>
    <row r="46">
      <c r="A46" s="7" t="inlineStr">
        <is>
          <t>/tv-media/blogs/id/18619/best-matchmaking-services-in-the-us-2026-guide</t>
        </is>
      </c>
      <c r="B46" s="8" t="n">
        <v>2834</v>
      </c>
      <c r="C46" s="7" t="n">
        <v>24</v>
      </c>
      <c r="D46" s="7" t="n">
        <v>10.7</v>
      </c>
    </row>
    <row r="47">
      <c r="A47" s="7" t="inlineStr">
        <is>
          <t>/washington-matchmaker</t>
        </is>
      </c>
      <c r="B47" s="8" t="n">
        <v>2817</v>
      </c>
      <c r="C47" s="7" t="n">
        <v>39</v>
      </c>
      <c r="D47" s="7" t="n">
        <v>16.1</v>
      </c>
    </row>
    <row r="48">
      <c r="A48" s="7" t="inlineStr">
        <is>
          <t>/las-vegas-matchmaker</t>
        </is>
      </c>
      <c r="B48" s="8" t="n">
        <v>2815</v>
      </c>
      <c r="C48" s="7" t="n">
        <v>11</v>
      </c>
      <c r="D48" s="7" t="n">
        <v>15.9</v>
      </c>
    </row>
    <row r="49">
      <c r="A49" s="7" t="inlineStr">
        <is>
          <t>/georgia-matchmaker</t>
        </is>
      </c>
      <c r="B49" s="8" t="n">
        <v>2609</v>
      </c>
      <c r="C49" s="7" t="n">
        <v>32</v>
      </c>
      <c r="D49" s="7" t="n">
        <v>18.6</v>
      </c>
    </row>
    <row r="50">
      <c r="A50" s="7" t="inlineStr">
        <is>
          <t>/connecticut-matchmaker</t>
        </is>
      </c>
      <c r="B50" s="8" t="n">
        <v>2600</v>
      </c>
      <c r="C50" s="7" t="n">
        <v>54</v>
      </c>
      <c r="D50" s="7" t="n">
        <v>11.3</v>
      </c>
    </row>
    <row r="51">
      <c r="A51" s="7" t="inlineStr">
        <is>
          <t>/oregon-matchmaker</t>
        </is>
      </c>
      <c r="B51" s="8" t="n">
        <v>2543</v>
      </c>
      <c r="C51" s="7" t="n">
        <v>44</v>
      </c>
      <c r="D51" s="7" t="n">
        <v>14.7</v>
      </c>
    </row>
    <row r="52">
      <c r="A52" s="7" t="inlineStr">
        <is>
          <t>/How-It-Works</t>
        </is>
      </c>
      <c r="B52" s="8" t="n">
        <v>2519</v>
      </c>
      <c r="C52" s="7" t="n">
        <v>25</v>
      </c>
      <c r="D52" s="7" t="n">
        <v>8.1</v>
      </c>
    </row>
    <row r="53">
      <c r="A53" s="7" t="inlineStr">
        <is>
          <t>/miami-matchmaker</t>
        </is>
      </c>
      <c r="B53" s="8" t="n">
        <v>2516</v>
      </c>
      <c r="C53" s="7" t="n">
        <v>2</v>
      </c>
      <c r="D53" s="7" t="n">
        <v>16</v>
      </c>
    </row>
    <row r="54">
      <c r="A54" s="7" t="inlineStr">
        <is>
          <t>/houston-matchmaker</t>
        </is>
      </c>
      <c r="B54" s="8" t="n">
        <v>2493</v>
      </c>
      <c r="C54" s="7" t="n">
        <v>9</v>
      </c>
      <c r="D54" s="7" t="n">
        <v>27.7</v>
      </c>
    </row>
    <row r="55">
      <c r="A55" s="7" t="inlineStr">
        <is>
          <t>/denver-matchmaker</t>
        </is>
      </c>
      <c r="B55" s="8" t="n">
        <v>2460</v>
      </c>
      <c r="C55" s="7" t="n">
        <v>8</v>
      </c>
      <c r="D55" s="7" t="n">
        <v>28.2</v>
      </c>
    </row>
    <row r="56">
      <c r="A56" s="7" t="inlineStr">
        <is>
          <t>/indianapolis-matchmaker</t>
        </is>
      </c>
      <c r="B56" s="8" t="n">
        <v>2445</v>
      </c>
      <c r="C56" s="7" t="n">
        <v>22</v>
      </c>
      <c r="D56" s="7" t="n">
        <v>30.4</v>
      </c>
    </row>
    <row r="57">
      <c r="A57" s="7" t="inlineStr">
        <is>
          <t>/tv-media/blogs/id/18689/kelleher-vs-selective-search-elite-matchmaking-compared-2026</t>
        </is>
      </c>
      <c r="B57" s="8" t="n">
        <v>2380</v>
      </c>
      <c r="C57" s="7" t="n">
        <v>16</v>
      </c>
      <c r="D57" s="7" t="n">
        <v>8</v>
      </c>
    </row>
    <row r="58">
      <c r="A58" s="7" t="inlineStr">
        <is>
          <t>/indiana-matchmaker</t>
        </is>
      </c>
      <c r="B58" s="8" t="n">
        <v>2265</v>
      </c>
      <c r="C58" s="7" t="n">
        <v>62</v>
      </c>
      <c r="D58" s="7" t="n">
        <v>8.4</v>
      </c>
    </row>
    <row r="59">
      <c r="A59" s="7" t="inlineStr">
        <is>
          <t>/missouri-matchmaker</t>
        </is>
      </c>
      <c r="B59" s="8" t="n">
        <v>2241</v>
      </c>
      <c r="C59" s="7" t="n">
        <v>39</v>
      </c>
      <c r="D59" s="7" t="n">
        <v>16.7</v>
      </c>
    </row>
    <row r="60">
      <c r="A60" s="7" t="inlineStr">
        <is>
          <t>/kansas-city-matchmaker</t>
        </is>
      </c>
      <c r="B60" s="8" t="n">
        <v>2164</v>
      </c>
      <c r="C60" s="7" t="n">
        <v>8</v>
      </c>
      <c r="D60" s="7" t="n">
        <v>31.3</v>
      </c>
    </row>
    <row r="61">
      <c r="A61" s="7" t="inlineStr">
        <is>
          <t>/tv-media/blogs/id/18683/three-day-rule-vs-tawkify-2026</t>
        </is>
      </c>
      <c r="B61" s="8" t="n">
        <v>2144</v>
      </c>
      <c r="C61" s="7" t="n">
        <v>25</v>
      </c>
      <c r="D61" s="7" t="n">
        <v>5.6</v>
      </c>
    </row>
    <row r="62">
      <c r="A62" s="7" t="inlineStr">
        <is>
          <t>/arizona-matchmaker</t>
        </is>
      </c>
      <c r="B62" s="8" t="n">
        <v>2065</v>
      </c>
      <c r="C62" s="7" t="n">
        <v>11</v>
      </c>
      <c r="D62" s="7" t="n">
        <v>15.3</v>
      </c>
    </row>
    <row r="63">
      <c r="A63" s="7" t="inlineStr">
        <is>
          <t>/minnesota-matchmaker</t>
        </is>
      </c>
      <c r="B63" s="8" t="n">
        <v>2016</v>
      </c>
      <c r="C63" s="7" t="n">
        <v>21</v>
      </c>
      <c r="D63" s="7" t="n">
        <v>10.2</v>
      </c>
    </row>
    <row r="64">
      <c r="A64" s="7" t="inlineStr">
        <is>
          <t>/Contact-Us/Careers</t>
        </is>
      </c>
      <c r="B64" s="8" t="n">
        <v>1758</v>
      </c>
      <c r="C64" s="7" t="n">
        <v>57</v>
      </c>
      <c r="D64" s="7" t="n">
        <v>13.6</v>
      </c>
    </row>
    <row r="65">
      <c r="A65" s="7" t="inlineStr">
        <is>
          <t>/salt-lake-city-matchmaker</t>
        </is>
      </c>
      <c r="B65" s="8" t="n">
        <v>1652</v>
      </c>
      <c r="C65" s="7" t="n">
        <v>11</v>
      </c>
      <c r="D65" s="7" t="n">
        <v>25.6</v>
      </c>
    </row>
    <row r="66">
      <c r="A66" s="7" t="inlineStr">
        <is>
          <t>/orlando-matchmaker</t>
        </is>
      </c>
      <c r="B66" s="8" t="n">
        <v>1642</v>
      </c>
      <c r="C66" s="7" t="n">
        <v>17</v>
      </c>
      <c r="D66" s="7" t="n">
        <v>9</v>
      </c>
    </row>
    <row r="67">
      <c r="A67" s="7" t="inlineStr">
        <is>
          <t>/tv-media/blogs/id/18684/maclynn-international-reviews-alternatives-2026</t>
        </is>
      </c>
      <c r="B67" s="8" t="n">
        <v>1641</v>
      </c>
      <c r="C67" s="7" t="n">
        <v>18</v>
      </c>
      <c r="D67" s="7" t="n">
        <v>7.1</v>
      </c>
    </row>
    <row r="68">
      <c r="A68" s="7" t="inlineStr">
        <is>
          <t>/phoenix-matchmaker</t>
        </is>
      </c>
      <c r="B68" s="8" t="n">
        <v>1594</v>
      </c>
      <c r="C68" s="7" t="n">
        <v>3</v>
      </c>
      <c r="D68" s="7" t="n">
        <v>14.1</v>
      </c>
    </row>
    <row r="69">
      <c r="A69" s="7" t="inlineStr">
        <is>
          <t>/portland-matchmaker</t>
        </is>
      </c>
      <c r="B69" s="8" t="n">
        <v>1585</v>
      </c>
      <c r="C69" s="7" t="n">
        <v>13</v>
      </c>
      <c r="D69" s="7" t="n">
        <v>23.2</v>
      </c>
    </row>
    <row r="70">
      <c r="A70" s="7" t="inlineStr">
        <is>
          <t>/jacksonville-matchmaker</t>
        </is>
      </c>
      <c r="B70" s="8" t="n">
        <v>1480</v>
      </c>
      <c r="C70" s="7" t="n">
        <v>18</v>
      </c>
      <c r="D70" s="7" t="n">
        <v>9.9</v>
      </c>
    </row>
    <row r="71">
      <c r="A71" s="7" t="inlineStr">
        <is>
          <t>/south-dakota-matchmaker</t>
        </is>
      </c>
      <c r="B71" s="8" t="n">
        <v>1419</v>
      </c>
      <c r="C71" s="7" t="n">
        <v>20</v>
      </c>
      <c r="D71" s="7" t="n">
        <v>7.9</v>
      </c>
    </row>
    <row r="72">
      <c r="A72" s="7" t="inlineStr">
        <is>
          <t>/west-palm-beach-matchmaker</t>
        </is>
      </c>
      <c r="B72" s="8" t="n">
        <v>1387</v>
      </c>
      <c r="C72" s="7" t="n">
        <v>5</v>
      </c>
      <c r="D72" s="7" t="n">
        <v>14.3</v>
      </c>
    </row>
    <row r="73">
      <c r="A73" s="7" t="inlineStr">
        <is>
          <t>/tv-media/blogs/id/18636/best-matchmakers-in-los-angeles-2026</t>
        </is>
      </c>
      <c r="B73" s="8" t="n">
        <v>1330</v>
      </c>
      <c r="C73" s="7" t="n">
        <v>17</v>
      </c>
      <c r="D73" s="7" t="n">
        <v>11.6</v>
      </c>
    </row>
    <row r="74">
      <c r="A74" s="7" t="inlineStr">
        <is>
          <t>/Reviews</t>
        </is>
      </c>
      <c r="B74" s="8" t="n">
        <v>1302</v>
      </c>
      <c r="C74" s="7" t="n">
        <v>23</v>
      </c>
      <c r="D74" s="7" t="n">
        <v>8.4</v>
      </c>
    </row>
    <row r="75">
      <c r="A75" s="7" t="inlineStr">
        <is>
          <t>/tennessee-matchmaker</t>
        </is>
      </c>
      <c r="B75" s="8" t="n">
        <v>1271</v>
      </c>
      <c r="C75" s="7" t="n">
        <v>20</v>
      </c>
      <c r="D75" s="7" t="n">
        <v>10.1</v>
      </c>
    </row>
    <row r="76">
      <c r="A76" s="7" t="inlineStr">
        <is>
          <t>/utah-matchmaker</t>
        </is>
      </c>
      <c r="B76" s="8" t="n">
        <v>1180</v>
      </c>
      <c r="C76" s="7" t="n">
        <v>22</v>
      </c>
      <c r="D76" s="7" t="n">
        <v>12</v>
      </c>
    </row>
    <row r="77">
      <c r="A77" s="7" t="inlineStr">
        <is>
          <t>/charlotte-matchmaker</t>
        </is>
      </c>
      <c r="B77" s="8" t="n">
        <v>1180</v>
      </c>
      <c r="C77" s="7" t="n">
        <v>6</v>
      </c>
      <c r="D77" s="7" t="n">
        <v>13.7</v>
      </c>
    </row>
    <row r="78">
      <c r="A78" s="7" t="inlineStr">
        <is>
          <t>/rhode-island-matchmaker</t>
        </is>
      </c>
      <c r="B78" s="8" t="n">
        <v>1169</v>
      </c>
      <c r="C78" s="7" t="n">
        <v>11</v>
      </c>
      <c r="D78" s="7" t="n">
        <v>10.8</v>
      </c>
    </row>
    <row r="79">
      <c r="A79" s="7" t="inlineStr">
        <is>
          <t>/north-dakota-matchmaker</t>
        </is>
      </c>
      <c r="B79" s="8" t="n">
        <v>1142</v>
      </c>
      <c r="C79" s="7" t="n">
        <v>50</v>
      </c>
      <c r="D79" s="7" t="n">
        <v>8</v>
      </c>
    </row>
    <row r="80">
      <c r="A80" s="7" t="inlineStr">
        <is>
          <t>/fort-myers-matchmaker</t>
        </is>
      </c>
      <c r="B80" s="8" t="n">
        <v>1119</v>
      </c>
      <c r="C80" s="7" t="n">
        <v>10</v>
      </c>
      <c r="D80" s="7" t="n">
        <v>10.7</v>
      </c>
    </row>
    <row r="81">
      <c r="A81" s="7" t="inlineStr">
        <is>
          <t>/scottsdale-matchmaker</t>
        </is>
      </c>
      <c r="B81" s="8" t="n">
        <v>1112</v>
      </c>
      <c r="C81" s="7" t="n">
        <v>4</v>
      </c>
      <c r="D81" s="7" t="n">
        <v>16.7</v>
      </c>
    </row>
    <row r="82">
      <c r="A82" s="7" t="inlineStr">
        <is>
          <t>/fort-lauderdale-matchmaker</t>
        </is>
      </c>
      <c r="B82" s="8" t="n">
        <v>1110</v>
      </c>
      <c r="C82" s="7" t="n">
        <v>16</v>
      </c>
      <c r="D82" s="7" t="n">
        <v>10.7</v>
      </c>
    </row>
    <row r="83">
      <c r="A83" s="7" t="inlineStr">
        <is>
          <t>/nevada-matchmaker</t>
        </is>
      </c>
      <c r="B83" s="8" t="n">
        <v>1012</v>
      </c>
      <c r="C83" s="7" t="n">
        <v>2</v>
      </c>
      <c r="D83" s="7" t="n">
        <v>12.7</v>
      </c>
    </row>
    <row r="84">
      <c r="A84" s="7" t="inlineStr">
        <is>
          <t>/tv-media/blogs/id/18638/best-matchmakers-in-washington-dc-2026</t>
        </is>
      </c>
      <c r="B84" s="8" t="n">
        <v>999</v>
      </c>
      <c r="C84" s="7" t="n">
        <v>12</v>
      </c>
      <c r="D84" s="7" t="n">
        <v>9.300000000000001</v>
      </c>
    </row>
    <row r="85">
      <c r="A85" s="7" t="inlineStr">
        <is>
          <t>/richmond-matchmaker</t>
        </is>
      </c>
      <c r="B85" s="8" t="n">
        <v>977</v>
      </c>
      <c r="C85" s="7" t="n">
        <v>14</v>
      </c>
      <c r="D85" s="7" t="n">
        <v>17.4</v>
      </c>
    </row>
    <row r="86">
      <c r="A86" s="7" t="inlineStr">
        <is>
          <t>/nashville-matchmaker</t>
        </is>
      </c>
      <c r="B86" s="8" t="n">
        <v>944</v>
      </c>
      <c r="C86" s="7" t="n">
        <v>3</v>
      </c>
      <c r="D86" s="7" t="n">
        <v>25.3</v>
      </c>
    </row>
    <row r="87">
      <c r="A87" s="7" t="inlineStr">
        <is>
          <t>/tv-media/blogs/id/18674/tawkify-vs-its-just-lunch-2026</t>
        </is>
      </c>
      <c r="B87" s="8" t="n">
        <v>921</v>
      </c>
      <c r="C87" s="7" t="n">
        <v>17</v>
      </c>
      <c r="D87" s="7" t="n">
        <v>5.6</v>
      </c>
    </row>
    <row r="88">
      <c r="A88" s="7" t="inlineStr">
        <is>
          <t>/sarasota-matchmaker</t>
        </is>
      </c>
      <c r="B88" s="8" t="n">
        <v>836</v>
      </c>
      <c r="C88" s="7" t="n">
        <v>12</v>
      </c>
      <c r="D88" s="7" t="n">
        <v>8.5</v>
      </c>
    </row>
    <row r="89">
      <c r="A89" s="7" t="inlineStr">
        <is>
          <t>/Contact-Us</t>
        </is>
      </c>
      <c r="B89" s="8" t="n">
        <v>826</v>
      </c>
      <c r="C89" s="7" t="n">
        <v>13</v>
      </c>
      <c r="D89" s="7" t="n">
        <v>8.9</v>
      </c>
    </row>
    <row r="90">
      <c r="A90" s="7" t="inlineStr">
        <is>
          <t>/tv-media/blogs/id/18610/dating-in-orlando-what-makes-central-florida-different-and-why-it-matters</t>
        </is>
      </c>
      <c r="B90" s="8" t="n">
        <v>747</v>
      </c>
      <c r="C90" s="7" t="n">
        <v>15</v>
      </c>
      <c r="D90" s="7" t="n">
        <v>7.7</v>
      </c>
    </row>
    <row r="91">
      <c r="A91" s="7" t="inlineStr">
        <is>
          <t>/tv-media/blogs/id/18627/its-just-lunch-reviews-2026</t>
        </is>
      </c>
      <c r="B91" s="8" t="n">
        <v>726</v>
      </c>
      <c r="C91" s="7" t="n">
        <v>6</v>
      </c>
      <c r="D91" s="7" t="n">
        <v>9.699999999999999</v>
      </c>
    </row>
    <row r="92">
      <c r="A92" s="7" t="inlineStr">
        <is>
          <t>/tv-media/blogs/id/18670/best-matchmakers-in-new-york-city-2026</t>
        </is>
      </c>
      <c r="B92" s="8" t="n">
        <v>706</v>
      </c>
      <c r="C92" s="7" t="n">
        <v>8</v>
      </c>
      <c r="D92" s="7" t="n">
        <v>8.800000000000001</v>
      </c>
    </row>
    <row r="93">
      <c r="A93" s="7" t="inlineStr">
        <is>
          <t>/how-it-works</t>
        </is>
      </c>
      <c r="B93" s="8" t="n">
        <v>672</v>
      </c>
      <c r="C93" s="7" t="n">
        <v>4</v>
      </c>
      <c r="D93" s="7" t="n">
        <v>8</v>
      </c>
    </row>
    <row r="94">
      <c r="A94" s="7" t="inlineStr">
        <is>
          <t>/tv-media/blogs/id/18595/what-is-a-personal-matchmaker</t>
        </is>
      </c>
      <c r="B94" s="8" t="n">
        <v>662</v>
      </c>
      <c r="C94" s="7" t="n">
        <v>3</v>
      </c>
      <c r="D94" s="7" t="n">
        <v>6</v>
      </c>
    </row>
    <row r="95">
      <c r="A95" s="7" t="inlineStr">
        <is>
          <t>/tv-media/blogs/id/18632/jewish-matchmakers-modern-matchmaking-timeless-tradition</t>
        </is>
      </c>
      <c r="B95" s="8" t="n">
        <v>632</v>
      </c>
      <c r="C95" s="7" t="n">
        <v>9</v>
      </c>
      <c r="D95" s="7" t="n">
        <v>9.199999999999999</v>
      </c>
    </row>
    <row r="96">
      <c r="A96" s="7" t="inlineStr">
        <is>
          <t>/tv-media/blogs/id/18628/executive-matchmaking-explained</t>
        </is>
      </c>
      <c r="B96" s="8" t="n">
        <v>632</v>
      </c>
      <c r="C96" s="7" t="n">
        <v>5</v>
      </c>
      <c r="D96" s="7" t="n">
        <v>12.7</v>
      </c>
    </row>
    <row r="97">
      <c r="A97" s="7" t="inlineStr">
        <is>
          <t>/tv-media/blogs/id/18677/best-matchmakers-in-charlotte-2026</t>
        </is>
      </c>
      <c r="B97" s="8" t="n">
        <v>612</v>
      </c>
      <c r="C97" s="7" t="n">
        <v>8</v>
      </c>
      <c r="D97" s="7" t="n">
        <v>12.7</v>
      </c>
    </row>
    <row r="98">
      <c r="A98" s="7" t="inlineStr">
        <is>
          <t>/tv-media/blogs/id/18637/best-matchmakers-in-chicago-2026</t>
        </is>
      </c>
      <c r="B98" s="8" t="n">
        <v>596</v>
      </c>
      <c r="C98" s="7" t="n">
        <v>5</v>
      </c>
      <c r="D98" s="7" t="n">
        <v>22.6</v>
      </c>
    </row>
    <row r="99">
      <c r="A99" s="7" t="inlineStr">
        <is>
          <t>/tv-media/blogs/id/18642/best-matchmakers-in-atlanta-2026</t>
        </is>
      </c>
      <c r="B99" s="8" t="n">
        <v>567</v>
      </c>
      <c r="C99" s="7" t="n">
        <v>3</v>
      </c>
      <c r="D99" s="7" t="n">
        <v>15</v>
      </c>
    </row>
    <row r="100">
      <c r="A100" s="7" t="inlineStr">
        <is>
          <t>/tv-media/blogs/id/18679/best-matchmakers-in-phoenix-2026</t>
        </is>
      </c>
      <c r="B100" s="8" t="n">
        <v>555</v>
      </c>
      <c r="C100" s="7" t="n">
        <v>6</v>
      </c>
      <c r="D100" s="7" t="n">
        <v>11.8</v>
      </c>
    </row>
    <row r="101">
      <c r="A101" s="7" t="inlineStr">
        <is>
          <t>/tv-media/blogs/id/18639/best-matchmakers-in-dallas-2026</t>
        </is>
      </c>
      <c r="B101" s="8" t="n">
        <v>547</v>
      </c>
      <c r="C101" s="7" t="n">
        <v>6</v>
      </c>
      <c r="D101" s="7" t="n">
        <v>13.1</v>
      </c>
    </row>
    <row r="102">
      <c r="A102" s="7" t="inlineStr">
        <is>
          <t>/tv-media/blogs/id/18676/best-matchmakers-in-philadelphia-2026</t>
        </is>
      </c>
      <c r="B102" s="8" t="n">
        <v>495</v>
      </c>
      <c r="C102" s="7" t="n">
        <v>15</v>
      </c>
      <c r="D102" s="7" t="n">
        <v>25.7</v>
      </c>
    </row>
    <row r="103">
      <c r="A103" s="7" t="inlineStr">
        <is>
          <t>/tv-media/blogs/id/18611/jacksonville-dating-for-professionals-a-practical-guide-to-finding-love-on-the-first-coast</t>
        </is>
      </c>
      <c r="B103" s="8" t="n">
        <v>488</v>
      </c>
      <c r="C103" s="7" t="n">
        <v>1</v>
      </c>
      <c r="D103" s="7" t="n">
        <v>13.4</v>
      </c>
    </row>
    <row r="104">
      <c r="A104" s="7" t="inlineStr">
        <is>
          <t>/tv-media/blogs/id/18643/best-matchmakers-in-the-san-francisco-bay-area-2026</t>
        </is>
      </c>
      <c r="B104" s="8" t="n">
        <v>467</v>
      </c>
      <c r="C104" s="7" t="n">
        <v>5</v>
      </c>
      <c r="D104" s="7" t="n">
        <v>21.6</v>
      </c>
    </row>
    <row r="105">
      <c r="A105" s="7" t="inlineStr">
        <is>
          <t>/tv-media/blogs/id/18630/the-best-alternatives-to-dating-apps-2026</t>
        </is>
      </c>
      <c r="B105" s="8" t="n">
        <v>467</v>
      </c>
      <c r="C105" s="7" t="n">
        <v>2</v>
      </c>
      <c r="D105" s="7" t="n">
        <v>6.2</v>
      </c>
    </row>
    <row r="106">
      <c r="A106" s="7" t="inlineStr">
        <is>
          <t>/tv-media/blogs/id/18618/matchmaker-near-me-how-to-find-the-right-one</t>
        </is>
      </c>
      <c r="B106" s="8" t="n">
        <v>457</v>
      </c>
      <c r="C106" s="7" t="n">
        <v>3</v>
      </c>
      <c r="D106" s="7" t="n">
        <v>10.5</v>
      </c>
    </row>
    <row r="107">
      <c r="A107" s="7" t="inlineStr">
        <is>
          <t>/tv-media/blogs/id/18686/high-end-matchmaking-what-the-price-includes-2026</t>
        </is>
      </c>
      <c r="B107" s="8" t="n">
        <v>453</v>
      </c>
      <c r="C107" s="7" t="n">
        <v>2</v>
      </c>
      <c r="D107" s="7" t="n">
        <v>5.3</v>
      </c>
    </row>
    <row r="108">
      <c r="A108" s="7" t="inlineStr">
        <is>
          <t>/tv-media/blogs/id/18608/south-florida-dating-a-matchmakers-honest-take-on-miami-vs-fort-lauderdale</t>
        </is>
      </c>
      <c r="B108" s="8" t="n">
        <v>430</v>
      </c>
      <c r="C108" s="7" t="n">
        <v>12</v>
      </c>
      <c r="D108" s="7" t="n">
        <v>9.800000000000001</v>
      </c>
    </row>
    <row r="109">
      <c r="A109" s="7" t="inlineStr">
        <is>
          <t>/tv-media/blogs/id/18575/the-6-best-places-to-find-love-in-and-around-the-san-francisco-bay-area-insights-from-a-san-francisco-matchmaker</t>
        </is>
      </c>
      <c r="B109" s="8" t="n">
        <v>391</v>
      </c>
      <c r="C109" s="7" t="n">
        <v>2</v>
      </c>
      <c r="D109" s="7" t="n">
        <v>24.4</v>
      </c>
    </row>
    <row r="110">
      <c r="A110" s="7" t="inlineStr">
        <is>
          <t>/tv-media/blogs/id/18651/looking-for-a-matchmaker-in-san-diego-heres-how-to-choose</t>
        </is>
      </c>
      <c r="B110" s="8" t="n">
        <v>390</v>
      </c>
      <c r="C110" s="7" t="n">
        <v>2</v>
      </c>
      <c r="D110" s="7" t="n">
        <v>45.5</v>
      </c>
    </row>
    <row r="111">
      <c r="A111" s="7" t="inlineStr">
        <is>
          <t>/tv-media/blogs/id/18678/best-matchmakers-in-seattle-2026</t>
        </is>
      </c>
      <c r="B111" s="8" t="n">
        <v>375</v>
      </c>
      <c r="C111" s="7" t="n">
        <v>2</v>
      </c>
      <c r="D111" s="7" t="n">
        <v>15.5</v>
      </c>
    </row>
    <row r="112">
      <c r="A112" s="7" t="inlineStr">
        <is>
          <t>/tv-media/blogs/id/18620/are-matchmakers-worth-it</t>
        </is>
      </c>
      <c r="B112" s="8" t="n">
        <v>347</v>
      </c>
      <c r="C112" s="7" t="n">
        <v>2</v>
      </c>
      <c r="D112" s="7" t="n">
        <v>20</v>
      </c>
    </row>
    <row r="113">
      <c r="A113" s="7" t="inlineStr">
        <is>
          <t>/tv-media/blogs/id/18695/what-a-certified-matchmaker-is-actually-certified-in</t>
        </is>
      </c>
      <c r="B113" s="8" t="n">
        <v>341</v>
      </c>
      <c r="C113" s="7" t="n">
        <v>5</v>
      </c>
      <c r="D113" s="7" t="n">
        <v>9.199999999999999</v>
      </c>
    </row>
    <row r="114">
      <c r="A114" s="7" t="inlineStr">
        <is>
          <t>/tv-media/blogs/id/18641/best-matchmakers-in-boston-2026</t>
        </is>
      </c>
      <c r="B114" s="8" t="n">
        <v>341</v>
      </c>
      <c r="C114" s="7" t="n">
        <v>4</v>
      </c>
      <c r="D114" s="7" t="n">
        <v>8</v>
      </c>
    </row>
    <row r="115">
      <c r="A115" s="7" t="inlineStr">
        <is>
          <t>/tv-media/blogs/id/18640/best-matchmakers-in-miami-2026</t>
        </is>
      </c>
      <c r="B115" s="8" t="n">
        <v>332</v>
      </c>
      <c r="C115" s="7" t="n">
        <v>1</v>
      </c>
      <c r="D115" s="7" t="n">
        <v>30</v>
      </c>
    </row>
    <row r="116">
      <c r="A116" s="7" t="inlineStr">
        <is>
          <t>/tv-media/blogs/id/18703/professional-matchmaking-what-you-are-actually-paying-for</t>
        </is>
      </c>
      <c r="B116" s="8" t="n">
        <v>331</v>
      </c>
      <c r="C116" s="7" t="n">
        <v>3</v>
      </c>
      <c r="D116" s="7" t="n">
        <v>11.9</v>
      </c>
    </row>
    <row r="117">
      <c r="A117" s="7" t="inlineStr">
        <is>
          <t>/about-us/additional-areas</t>
        </is>
      </c>
      <c r="B117" s="8" t="n">
        <v>313</v>
      </c>
      <c r="C117" s="7" t="n">
        <v>8</v>
      </c>
      <c r="D117" s="7" t="n">
        <v>12.2</v>
      </c>
    </row>
    <row r="118">
      <c r="A118" s="7" t="inlineStr">
        <is>
          <t>/tv-media/blogs/id/18675/best-matchmakers-in-florida-2026</t>
        </is>
      </c>
      <c r="B118" s="8" t="n">
        <v>299</v>
      </c>
      <c r="C118" s="7" t="n">
        <v>2</v>
      </c>
      <c r="D118" s="7" t="n">
        <v>15.7</v>
      </c>
    </row>
    <row r="119">
      <c r="A119" s="7" t="inlineStr">
        <is>
          <t>/tv-media/blogs/id/18669/best-matchmakers-in-san-diego-2026</t>
        </is>
      </c>
      <c r="B119" s="8" t="n">
        <v>289</v>
      </c>
      <c r="C119" s="7" t="n">
        <v>3</v>
      </c>
      <c r="D119" s="7" t="n">
        <v>20.9</v>
      </c>
    </row>
    <row r="120">
      <c r="A120" s="7" t="inlineStr">
        <is>
          <t>/tv-media/blogs/id/18717/what-a-matchmaker-costs-in-charlotte</t>
        </is>
      </c>
      <c r="B120" s="8" t="n">
        <v>264</v>
      </c>
      <c r="C120" s="7" t="n">
        <v>0</v>
      </c>
      <c r="D120" s="7" t="n">
        <v>11.7</v>
      </c>
    </row>
    <row r="121">
      <c r="A121" s="7" t="inlineStr">
        <is>
          <t>/tv-media/blogs/id/18655/matchmaking-in-charlotte-for-busy-relationship-ready-singles</t>
        </is>
      </c>
      <c r="B121" s="8" t="n">
        <v>252</v>
      </c>
      <c r="C121" s="7" t="n">
        <v>1</v>
      </c>
      <c r="D121" s="7" t="n">
        <v>17.7</v>
      </c>
    </row>
    <row r="122">
      <c r="A122" s="7" t="inlineStr">
        <is>
          <t>/tv-media/blogs/id/18634/millionaire-matchmaker-the-show-vs-real-matchmaking</t>
        </is>
      </c>
      <c r="B122" s="8" t="n">
        <v>241</v>
      </c>
      <c r="C122" s="7" t="n">
        <v>2</v>
      </c>
      <c r="D122" s="7" t="n">
        <v>9.4</v>
      </c>
    </row>
    <row r="123">
      <c r="A123" s="7" t="inlineStr">
        <is>
          <t>/tv-media/blogs/id/18708/what-high-end-matchmaking-does-differently</t>
        </is>
      </c>
      <c r="B123" s="8" t="n">
        <v>236</v>
      </c>
      <c r="C123" s="7" t="n">
        <v>1</v>
      </c>
      <c r="D123" s="7" t="n">
        <v>7.5</v>
      </c>
    </row>
    <row r="124">
      <c r="A124" s="7" t="inlineStr">
        <is>
          <t>/tv-media/blogs/id/18588/unlocking-love-why-a-professional-matchmaker-is-the-key-to-quality-dating</t>
        </is>
      </c>
      <c r="B124" s="8" t="n">
        <v>215</v>
      </c>
      <c r="C124" s="7" t="n">
        <v>0</v>
      </c>
      <c r="D124" s="7" t="n">
        <v>41</v>
      </c>
    </row>
    <row r="125">
      <c r="A125" s="7" t="inlineStr">
        <is>
          <t>/tv-media/blogs/id/18576/5-ways-to-meet-someone-near-you-in-the-washington-dc-maryland-and-virginia-beltway-this-summer-tips-from-a-washington-dc-matchmaker</t>
        </is>
      </c>
      <c r="B125" s="8" t="n">
        <v>213</v>
      </c>
      <c r="C125" s="7" t="n">
        <v>0</v>
      </c>
      <c r="D125" s="7" t="n">
        <v>10.2</v>
      </c>
    </row>
    <row r="126">
      <c r="A126" s="7" t="inlineStr">
        <is>
          <t>/contactus.aspx</t>
        </is>
      </c>
      <c r="B126" s="8" t="n">
        <v>207</v>
      </c>
      <c r="C126" s="7" t="n">
        <v>1</v>
      </c>
      <c r="D126" s="7" t="n">
        <v>11</v>
      </c>
    </row>
    <row r="127">
      <c r="A127" s="7" t="inlineStr">
        <is>
          <t>/tv-media/blogs/id/18648/how-to-find-a-matchmaker-in-detroit-you-can-actually-trust</t>
        </is>
      </c>
      <c r="B127" s="8" t="n">
        <v>202</v>
      </c>
      <c r="C127" s="7" t="n">
        <v>0</v>
      </c>
      <c r="D127" s="7" t="n">
        <v>10.6</v>
      </c>
    </row>
    <row r="128">
      <c r="A128" s="7" t="inlineStr">
        <is>
          <t>/Atlanta-Matchmaker</t>
        </is>
      </c>
      <c r="B128" s="8" t="n">
        <v>152</v>
      </c>
      <c r="C128" s="7" t="n">
        <v>2</v>
      </c>
      <c r="D128" s="7" t="n">
        <v>15</v>
      </c>
    </row>
    <row r="129">
      <c r="A129" s="7" t="inlineStr">
        <is>
          <t>/tv-media/blogs/id/18572/comparing-tawkify-and-master-matchmakers</t>
        </is>
      </c>
      <c r="B129" s="8" t="n">
        <v>150</v>
      </c>
      <c r="C129" s="7" t="n">
        <v>2</v>
      </c>
      <c r="D129" s="7" t="n">
        <v>7.6</v>
      </c>
    </row>
    <row r="130">
      <c r="A130" s="7" t="inlineStr">
        <is>
          <t>/tv-media/blogs/id/241/hinge-now-exposes-relationship-status</t>
        </is>
      </c>
      <c r="B130" s="8" t="n">
        <v>148</v>
      </c>
      <c r="C130" s="7" t="n">
        <v>0</v>
      </c>
      <c r="D130" s="7" t="n">
        <v>8.1</v>
      </c>
    </row>
    <row r="131">
      <c r="A131" s="7" t="inlineStr">
        <is>
          <t>/tv-media/blogs/id/18647/meet-someone-worth-your-time-with-a-phoenix-matchmaker</t>
        </is>
      </c>
      <c r="B131" s="8" t="n">
        <v>143</v>
      </c>
      <c r="C131" s="7" t="n">
        <v>0</v>
      </c>
      <c r="D131" s="7" t="n">
        <v>12.8</v>
      </c>
    </row>
    <row r="132">
      <c r="A132" s="7" t="inlineStr">
        <is>
          <t>/tv-media/blogs/id/108/dont-be-a-cliche-follow-these-tinder-bio-donts</t>
        </is>
      </c>
      <c r="B132" s="8" t="n">
        <v>138</v>
      </c>
      <c r="C132" s="7" t="n">
        <v>0</v>
      </c>
      <c r="D132" s="7" t="n">
        <v>26.8</v>
      </c>
    </row>
    <row r="133">
      <c r="A133" s="7" t="inlineStr">
        <is>
          <t>/tv-media/blogs/id/18612/how-to-choose-the-right-matchmaker-in-florida-a-buyers-guide-for-serious-singles</t>
        </is>
      </c>
      <c r="B133" s="8" t="n">
        <v>136</v>
      </c>
      <c r="C133" s="7" t="n">
        <v>0</v>
      </c>
      <c r="D133" s="7" t="n">
        <v>6.8</v>
      </c>
    </row>
    <row r="134">
      <c r="A134" s="7" t="inlineStr">
        <is>
          <t>/tv-media/blogs/id/105/3-ways-to-cheat-on-someone</t>
        </is>
      </c>
      <c r="B134" s="8" t="n">
        <v>133</v>
      </c>
      <c r="C134" s="7" t="n">
        <v>1</v>
      </c>
      <c r="D134" s="7" t="n">
        <v>21.4</v>
      </c>
    </row>
    <row r="135">
      <c r="A135" s="7" t="inlineStr">
        <is>
          <t>/tv-media/blogs/id/18702/local-matchmaking-without-a-matchmaker-in-your-city</t>
        </is>
      </c>
      <c r="B135" s="8" t="n">
        <v>130</v>
      </c>
      <c r="C135" s="7" t="n">
        <v>3</v>
      </c>
      <c r="D135" s="7" t="n">
        <v>5.4</v>
      </c>
    </row>
    <row r="136">
      <c r="A136" s="7" t="inlineStr">
        <is>
          <t>/tv-media/blogs/id/18631/matchmakers-for-women</t>
        </is>
      </c>
      <c r="B136" s="8" t="n">
        <v>126</v>
      </c>
      <c r="C136" s="7" t="n">
        <v>1</v>
      </c>
      <c r="D136" s="7" t="n">
        <v>9</v>
      </c>
    </row>
    <row r="137">
      <c r="A137" s="7" t="inlineStr">
        <is>
          <t>/tv-media/blogs/id/18596/why-master-matchmakers-is-the-best-matchmaker-in-florida</t>
        </is>
      </c>
      <c r="B137" s="8" t="n">
        <v>124</v>
      </c>
      <c r="C137" s="7" t="n">
        <v>0</v>
      </c>
      <c r="D137" s="7" t="n">
        <v>14</v>
      </c>
    </row>
    <row r="138">
      <c r="A138" s="7" t="inlineStr">
        <is>
          <t>/tv-media/blogs/id/18579/5-winning-first-texts-to-get-you-chatting-with-your-dating-matches</t>
        </is>
      </c>
      <c r="B138" s="8" t="n">
        <v>120</v>
      </c>
      <c r="C138" s="7" t="n">
        <v>1</v>
      </c>
      <c r="D138" s="7" t="n">
        <v>14.8</v>
      </c>
    </row>
    <row r="139">
      <c r="A139" s="7" t="inlineStr">
        <is>
          <t>/tv-media/blogs/id/18714/professional-dating-services-what-separates-the-real-ones</t>
        </is>
      </c>
      <c r="B139" s="8" t="n">
        <v>110</v>
      </c>
      <c r="C139" s="7" t="n">
        <v>0</v>
      </c>
      <c r="D139" s="7" t="n">
        <v>7.9</v>
      </c>
    </row>
    <row r="140">
      <c r="A140" s="7" t="inlineStr">
        <is>
          <t>/tv-media/blogs/id/18649/a-seattle-matchmakers-approach-to-intentional-dating</t>
        </is>
      </c>
      <c r="B140" s="8" t="n">
        <v>104</v>
      </c>
      <c r="C140" s="7" t="n">
        <v>2</v>
      </c>
      <c r="D140" s="7" t="n">
        <v>9.9</v>
      </c>
    </row>
    <row r="141">
      <c r="A141" s="7" t="inlineStr">
        <is>
          <t>/tv-media/blogs/id/18698/elite-matchmaking-what-the-word-is-actually-describing</t>
        </is>
      </c>
      <c r="B141" s="8" t="n">
        <v>103</v>
      </c>
      <c r="C141" s="7" t="n">
        <v>0</v>
      </c>
      <c r="D141" s="7" t="n">
        <v>6.5</v>
      </c>
    </row>
    <row r="142">
      <c r="A142" s="7" t="inlineStr">
        <is>
          <t>/TV-Media/Blogs/articleType/NotAuthorized</t>
        </is>
      </c>
      <c r="B142" s="8" t="n">
        <v>102</v>
      </c>
      <c r="C142" s="7" t="n">
        <v>0</v>
      </c>
      <c r="D142" s="7" t="n">
        <v>43.5</v>
      </c>
    </row>
    <row r="143">
      <c r="A143" s="7" t="inlineStr">
        <is>
          <t>/tv-media/blogs/id/252/tinder-and-the-dawn-of-the-dating-apocalypse</t>
        </is>
      </c>
      <c r="B143" s="8" t="n">
        <v>97</v>
      </c>
      <c r="C143" s="7" t="n">
        <v>0</v>
      </c>
      <c r="D143" s="7" t="n">
        <v>14</v>
      </c>
    </row>
    <row r="144">
      <c r="A144" s="7" t="inlineStr">
        <is>
          <t>/tv-media/blogs/id/18718/what-a-matchmaker-costs-in-austin</t>
        </is>
      </c>
      <c r="B144" s="8" t="n">
        <v>95</v>
      </c>
      <c r="C144" s="7" t="n">
        <v>3</v>
      </c>
      <c r="D144" s="7" t="n">
        <v>7.9</v>
      </c>
    </row>
    <row r="145">
      <c r="A145" s="7" t="inlineStr">
        <is>
          <t>/tv-media/blogs/id/18701/dating-agency-or-matchmaker-which-one-you-actually-need</t>
        </is>
      </c>
      <c r="B145" s="8" t="n">
        <v>94</v>
      </c>
      <c r="C145" s="7" t="n">
        <v>0</v>
      </c>
      <c r="D145" s="7" t="n">
        <v>7.4</v>
      </c>
    </row>
    <row r="146">
      <c r="A146" s="7" t="inlineStr">
        <is>
          <t>/tv-media/blogs/id/18581/questions-to-ask-when-you-hire-a-matchmaker</t>
        </is>
      </c>
      <c r="B146" s="8" t="n">
        <v>93</v>
      </c>
      <c r="C146" s="7" t="n">
        <v>0</v>
      </c>
      <c r="D146" s="7" t="n">
        <v>18.4</v>
      </c>
    </row>
    <row r="147">
      <c r="A147" s="7" t="inlineStr">
        <is>
          <t>/tv-media/blogs/id/18673/matchmakers-for-men</t>
        </is>
      </c>
      <c r="B147" s="8" t="n">
        <v>90</v>
      </c>
      <c r="C147" s="7" t="n">
        <v>1</v>
      </c>
      <c r="D147" s="7" t="n">
        <v>5.4</v>
      </c>
    </row>
    <row r="148">
      <c r="A148" s="7" t="inlineStr">
        <is>
          <t>/tv-media/blogs/id/18577/new-york-matchmaker-how-personalized-matchmaking-works</t>
        </is>
      </c>
      <c r="B148" s="8" t="n">
        <v>89</v>
      </c>
      <c r="C148" s="7" t="n">
        <v>0</v>
      </c>
      <c r="D148" s="7" t="n">
        <v>14.1</v>
      </c>
    </row>
    <row r="149">
      <c r="A149" s="7" t="inlineStr">
        <is>
          <t>/tv-media/blogs/id/18730/new-braunfels-matchmaker-new-address-same-social-circle</t>
        </is>
      </c>
      <c r="B149" s="8" t="n">
        <v>86</v>
      </c>
      <c r="C149" s="7" t="n">
        <v>1</v>
      </c>
      <c r="D149" s="7" t="n">
        <v>9.6</v>
      </c>
    </row>
    <row r="150">
      <c r="A150" s="7" t="inlineStr">
        <is>
          <t>/tv-media/blogs/id/18619/categoryid/1/best-matchmaking-services-in-the-us-2026-guide</t>
        </is>
      </c>
      <c r="B150" s="8" t="n">
        <v>82</v>
      </c>
      <c r="C150" s="7" t="n">
        <v>0</v>
      </c>
      <c r="D150" s="7" t="n">
        <v>9.199999999999999</v>
      </c>
    </row>
    <row r="151">
      <c r="A151" s="7" t="inlineStr">
        <is>
          <t>/tv-media/blogs/id/18716/what-exclusive-matchmaking-screens-for</t>
        </is>
      </c>
      <c r="B151" s="8" t="n">
        <v>81</v>
      </c>
      <c r="C151" s="7" t="n">
        <v>0</v>
      </c>
      <c r="D151" s="7" t="n">
        <v>7.3</v>
      </c>
    </row>
    <row r="152">
      <c r="A152" s="7" t="inlineStr">
        <is>
          <t>/tv-media/blogs/id/18613/snowbird-season-and-florida-romance-how-smart-singles-date-through-the-seasonal-shift</t>
        </is>
      </c>
      <c r="B152" s="8" t="n">
        <v>75</v>
      </c>
      <c r="C152" s="7" t="n">
        <v>2</v>
      </c>
      <c r="D152" s="7" t="n">
        <v>5.3</v>
      </c>
    </row>
    <row r="153">
      <c r="A153" s="7" t="inlineStr">
        <is>
          <t>/tv-media/blogs/id/18650/minneapolis-matchmaker-how-personalized-matchmaking-works</t>
        </is>
      </c>
      <c r="B153" s="8" t="n">
        <v>75</v>
      </c>
      <c r="C153" s="7" t="n">
        <v>0</v>
      </c>
      <c r="D153" s="7" t="n">
        <v>21.9</v>
      </c>
    </row>
    <row r="154">
      <c r="A154" s="7" t="inlineStr">
        <is>
          <t>/tv-media/blogs/id/18623/categoryid/1/professional-matchmaking-in-houston-what-to-expect</t>
        </is>
      </c>
      <c r="B154" s="8" t="n">
        <v>74</v>
      </c>
      <c r="C154" s="7" t="n">
        <v>0</v>
      </c>
      <c r="D154" s="7" t="n">
        <v>23.8</v>
      </c>
    </row>
    <row r="155">
      <c r="A155" s="7" t="inlineStr">
        <is>
          <t>/tv-media/blogs/id/18652/how-to-find-a-matchmaker-in-tampa-you-can-actually-trust</t>
        </is>
      </c>
      <c r="B155" s="8" t="n">
        <v>71</v>
      </c>
      <c r="C155" s="7" t="n">
        <v>1</v>
      </c>
      <c r="D155" s="7" t="n">
        <v>27.5</v>
      </c>
    </row>
    <row r="156">
      <c r="A156" s="7" t="inlineStr">
        <is>
          <t>/tv-media/blogs/id/18615/date-night-ideas-that-actually-lead-to-lasting-love-a-city-by-city-guide</t>
        </is>
      </c>
      <c r="B156" s="8" t="n">
        <v>71</v>
      </c>
      <c r="C156" s="7" t="n">
        <v>0</v>
      </c>
      <c r="D156" s="7" t="n">
        <v>9</v>
      </c>
    </row>
    <row r="157">
      <c r="A157" s="7" t="inlineStr">
        <is>
          <t>/tv-media/blogs/id/18725/matchmaking-contracts-what-to-look-for-before-you-sign</t>
        </is>
      </c>
      <c r="B157" s="8" t="n">
        <v>69</v>
      </c>
      <c r="C157" s="7" t="n">
        <v>0</v>
      </c>
      <c r="D157" s="7" t="n">
        <v>5.5</v>
      </c>
    </row>
    <row r="158">
      <c r="A158" s="7" t="inlineStr">
        <is>
          <t>/tv-media/blogs/id/18653/why-denver-singles-are-choosing-professional-matchmakers</t>
        </is>
      </c>
      <c r="B158" s="8" t="n">
        <v>68</v>
      </c>
      <c r="C158" s="7" t="n">
        <v>0</v>
      </c>
      <c r="D158" s="7" t="n">
        <v>20.5</v>
      </c>
    </row>
    <row r="159">
      <c r="A159" s="7" t="inlineStr">
        <is>
          <t>/TV-Media/Photos</t>
        </is>
      </c>
      <c r="B159" s="8" t="n">
        <v>66</v>
      </c>
      <c r="C159" s="7" t="n">
        <v>2</v>
      </c>
      <c r="D159" s="7" t="n">
        <v>15.6</v>
      </c>
    </row>
    <row r="160">
      <c r="A160" s="7" t="inlineStr">
        <is>
          <t>/tv-media/blogs/id/18685/matchmakers-for-high-net-worth-singles</t>
        </is>
      </c>
      <c r="B160" s="8" t="n">
        <v>66</v>
      </c>
      <c r="C160" s="7" t="n">
        <v>2</v>
      </c>
      <c r="D160" s="7" t="n">
        <v>8.1</v>
      </c>
    </row>
    <row r="161">
      <c r="A161" s="7" t="inlineStr">
        <is>
          <t>/tv-media/blogs/id/18654/professional-matchmaking-in-baltimore-what-to-expect</t>
        </is>
      </c>
      <c r="B161" s="8" t="n">
        <v>62</v>
      </c>
      <c r="C161" s="7" t="n">
        <v>0</v>
      </c>
      <c r="D161" s="7" t="n">
        <v>12.4</v>
      </c>
    </row>
    <row r="162">
      <c r="A162" s="7" t="inlineStr">
        <is>
          <t>/tv-media/blogs/id/18672/matchmaking-for-seniors</t>
        </is>
      </c>
      <c r="B162" s="8" t="n">
        <v>61</v>
      </c>
      <c r="C162" s="7" t="n">
        <v>3</v>
      </c>
      <c r="D162" s="7" t="n">
        <v>7</v>
      </c>
    </row>
    <row r="163">
      <c r="A163" s="7" t="inlineStr">
        <is>
          <t>/tv-media/blogs/id/18565/do-matchmakers-work-what-the-process-actually-changes</t>
        </is>
      </c>
      <c r="B163" s="8" t="n">
        <v>56</v>
      </c>
      <c r="C163" s="7" t="n">
        <v>0</v>
      </c>
      <c r="D163" s="7" t="n">
        <v>8.699999999999999</v>
      </c>
    </row>
    <row r="164">
      <c r="A164" s="7" t="inlineStr">
        <is>
          <t>/tv-media/blogs/id/18682/matchmaking-for-single-parents</t>
        </is>
      </c>
      <c r="B164" s="8" t="n">
        <v>56</v>
      </c>
      <c r="C164" s="7" t="n">
        <v>0</v>
      </c>
      <c r="D164" s="7" t="n">
        <v>10.3</v>
      </c>
    </row>
    <row r="165">
      <c r="A165" s="7" t="inlineStr">
        <is>
          <t>/tv-media/blogs/id/18707/how-to-meet-professional-singles-in-person</t>
        </is>
      </c>
      <c r="B165" s="8" t="n">
        <v>56</v>
      </c>
      <c r="C165" s="7" t="n">
        <v>0</v>
      </c>
      <c r="D165" s="7" t="n">
        <v>7.6</v>
      </c>
    </row>
    <row r="166">
      <c r="A166" s="7" t="inlineStr">
        <is>
          <t>/tv-media/blogs/id/71/on-and-off-relationships</t>
        </is>
      </c>
      <c r="B166" s="8" t="n">
        <v>55</v>
      </c>
      <c r="C166" s="7" t="n">
        <v>1</v>
      </c>
      <c r="D166" s="7" t="n">
        <v>35.8</v>
      </c>
    </row>
    <row r="167">
      <c r="A167" s="7" t="inlineStr">
        <is>
          <t>/tv-media/blogs/id/18660/palo-alto-matchmaker-dating-in-a-stanford-town</t>
        </is>
      </c>
      <c r="B167" s="8" t="n">
        <v>53</v>
      </c>
      <c r="C167" s="7" t="n">
        <v>1</v>
      </c>
      <c r="D167" s="7" t="n">
        <v>6.9</v>
      </c>
    </row>
    <row r="168">
      <c r="A168" s="7" t="inlineStr">
        <is>
          <t>/tv-media/blogs/id/18618/how-to-find-the-best-matchmaker-near-you-2026-guide</t>
        </is>
      </c>
      <c r="B168" s="8" t="n">
        <v>52</v>
      </c>
      <c r="C168" s="7" t="n">
        <v>1</v>
      </c>
      <c r="D168" s="7" t="n">
        <v>12.5</v>
      </c>
    </row>
    <row r="169">
      <c r="A169" s="7" t="inlineStr">
        <is>
          <t>/tv-media/blogs/id/18731/dating-apps-for-serious-relationships-what-they-do-not-solve</t>
        </is>
      </c>
      <c r="B169" s="8" t="n">
        <v>49</v>
      </c>
      <c r="C169" s="7" t="n">
        <v>0</v>
      </c>
      <c r="D169" s="7" t="n">
        <v>11.2</v>
      </c>
    </row>
    <row r="170">
      <c r="A170" s="7" t="inlineStr">
        <is>
          <t>/tv-media/blogs/id/18661/san-jose-matchmaker-introductions-for-silicon-valley-professionals</t>
        </is>
      </c>
      <c r="B170" s="8" t="n">
        <v>47</v>
      </c>
      <c r="C170" s="7" t="n">
        <v>0</v>
      </c>
      <c r="D170" s="7" t="n">
        <v>8.6</v>
      </c>
    </row>
    <row r="171">
      <c r="A171" s="7" t="inlineStr">
        <is>
          <t>/tv-media/blogs/id/18671/matchmaker-vs-dating-apps-which-wins</t>
        </is>
      </c>
      <c r="B171" s="8" t="n">
        <v>47</v>
      </c>
      <c r="C171" s="7" t="n">
        <v>0</v>
      </c>
      <c r="D171" s="7" t="n">
        <v>7</v>
      </c>
    </row>
    <row r="172">
      <c r="A172" s="7" t="inlineStr">
        <is>
          <t>/tv-media/blogs/id/18571/top-10-best-places-to-date-in-texas</t>
        </is>
      </c>
      <c r="B172" s="8" t="n">
        <v>46</v>
      </c>
      <c r="C172" s="7" t="n">
        <v>0</v>
      </c>
      <c r="D172" s="7" t="n">
        <v>12.8</v>
      </c>
    </row>
    <row r="173">
      <c r="A173" s="7" t="inlineStr">
        <is>
          <t>/tv-media/blogs/id/18663/beverly-hills-matchmaker-discreet-high-end-introductions</t>
        </is>
      </c>
      <c r="B173" s="8" t="n">
        <v>43</v>
      </c>
      <c r="C173" s="7" t="n">
        <v>0</v>
      </c>
      <c r="D173" s="7" t="n">
        <v>15.1</v>
      </c>
    </row>
    <row r="174">
      <c r="A174" s="7" t="inlineStr">
        <is>
          <t>/tv-media/blogs/id/18728/christian-matchmaking-what-to-know-2026</t>
        </is>
      </c>
      <c r="B174" s="8" t="n">
        <v>41</v>
      </c>
      <c r="C174" s="7" t="n">
        <v>2</v>
      </c>
      <c r="D174" s="7" t="n">
        <v>11.5</v>
      </c>
    </row>
    <row r="175">
      <c r="A175" s="7" t="inlineStr">
        <is>
          <t>/tv-media/blogs/id/18687/matchmakers-for-divorced-singles</t>
        </is>
      </c>
      <c r="B175" s="8" t="n">
        <v>41</v>
      </c>
      <c r="C175" s="7" t="n">
        <v>0</v>
      </c>
      <c r="D175" s="7" t="n">
        <v>6.4</v>
      </c>
    </row>
    <row r="176">
      <c r="A176" s="7" t="inlineStr">
        <is>
          <t>/tv-media/blogs/id/18627/categoryid/1/its-just-lunch-reviews-2026</t>
        </is>
      </c>
      <c r="B176" s="8" t="n">
        <v>40</v>
      </c>
      <c r="C176" s="7" t="n">
        <v>0</v>
      </c>
      <c r="D176" s="7" t="n">
        <v>8.300000000000001</v>
      </c>
    </row>
    <row r="177">
      <c r="A177" s="7" t="inlineStr">
        <is>
          <t>/tv-media/blogs/id/18607/the-2026-florida-dating-landscape-why-accomplished-singles-are-quietly-walking-away-from-the-apps</t>
        </is>
      </c>
      <c r="B177" s="8" t="n">
        <v>39</v>
      </c>
      <c r="C177" s="7" t="n">
        <v>0</v>
      </c>
      <c r="D177" s="7" t="n">
        <v>6.3</v>
      </c>
    </row>
    <row r="178">
      <c r="A178" s="7" t="inlineStr">
        <is>
          <t>/tv-media/blogs/id/18563/do-opposites-attract-or-are-we-drawn-to-people-who-resemble-us</t>
        </is>
      </c>
      <c r="B178" s="8" t="n">
        <v>37</v>
      </c>
      <c r="C178" s="7" t="n">
        <v>0</v>
      </c>
      <c r="D178" s="7" t="n">
        <v>12.7</v>
      </c>
    </row>
    <row r="179">
      <c r="A179" s="7" t="inlineStr">
        <is>
          <t>/tv-media/blogs/id/18662/newport-beach-matchmaker-orange-county-not-los-angeles</t>
        </is>
      </c>
      <c r="B179" s="8" t="n">
        <v>37</v>
      </c>
      <c r="C179" s="7" t="n">
        <v>0</v>
      </c>
      <c r="D179" s="7" t="n">
        <v>9.9</v>
      </c>
    </row>
    <row r="180">
      <c r="A180" s="7" t="inlineStr">
        <is>
          <t>/tv-media/blogs/id/18726/matchmakers-for-physicians-and-doctors</t>
        </is>
      </c>
      <c r="B180" s="8" t="n">
        <v>36</v>
      </c>
      <c r="C180" s="7" t="n">
        <v>2</v>
      </c>
      <c r="D180" s="7" t="n">
        <v>14.1</v>
      </c>
    </row>
    <row r="181">
      <c r="A181" s="7" t="inlineStr">
        <is>
          <t>/tv-media/blogs/id/18665/darien-matchmaker-discretion-in-a-town-where-everyone-knows-everyone</t>
        </is>
      </c>
      <c r="B181" s="8" t="n">
        <v>35</v>
      </c>
      <c r="C181" s="7" t="n">
        <v>0</v>
      </c>
      <c r="D181" s="7" t="n">
        <v>9.699999999999999</v>
      </c>
    </row>
    <row r="182">
      <c r="A182" s="7" t="inlineStr">
        <is>
          <t>/tv-media/blogs/id/18723/cincinnati-matchmaker-dating-around-eight-employers</t>
        </is>
      </c>
      <c r="B182" s="8" t="n">
        <v>32</v>
      </c>
      <c r="C182" s="7" t="n">
        <v>0</v>
      </c>
      <c r="D182" s="7" t="n">
        <v>19.9</v>
      </c>
    </row>
    <row r="183">
      <c r="A183" s="7" t="inlineStr">
        <is>
          <t>/tv-media/blogs/id/18666/greenwich-matchmaker-discreet-introductions-in-fairfield-county</t>
        </is>
      </c>
      <c r="B183" s="8" t="n">
        <v>31</v>
      </c>
      <c r="C183" s="7" t="n">
        <v>1</v>
      </c>
      <c r="D183" s="7" t="n">
        <v>24.1</v>
      </c>
    </row>
    <row r="184">
      <c r="A184" s="7" t="inlineStr">
        <is>
          <t>/tv-media/blogs/id/18694/highland-park-tx-matchmaker-a-small-town-surrounded-by-dallas</t>
        </is>
      </c>
      <c r="B184" s="8" t="n">
        <v>30</v>
      </c>
      <c r="C184" s="7" t="n">
        <v>1</v>
      </c>
      <c r="D184" s="7" t="n">
        <v>27</v>
      </c>
    </row>
    <row r="185">
      <c r="A185" s="7" t="inlineStr">
        <is>
          <t>/tv-media/blogs/id/18565/the-benefits-of-professional-matchmaking-services</t>
        </is>
      </c>
      <c r="B185" s="8" t="n">
        <v>30</v>
      </c>
      <c r="C185" s="7" t="n">
        <v>0</v>
      </c>
      <c r="D185" s="7" t="n">
        <v>60.6</v>
      </c>
    </row>
    <row r="186">
      <c r="A186" s="7" t="inlineStr">
        <is>
          <t>/tv-media/blogs/id/18633/professional-matchmaker-services</t>
        </is>
      </c>
      <c r="B186" s="8" t="n">
        <v>30</v>
      </c>
      <c r="C186" s="7" t="n">
        <v>0</v>
      </c>
      <c r="D186" s="7" t="n">
        <v>11</v>
      </c>
    </row>
    <row r="187">
      <c r="A187" s="7" t="inlineStr">
        <is>
          <t>/tv-media/blogs/id/18700/where-dating-coaching-ends-and-matchmaking-begins</t>
        </is>
      </c>
      <c r="B187" s="8" t="n">
        <v>30</v>
      </c>
      <c r="C187" s="7" t="n">
        <v>0</v>
      </c>
      <c r="D187" s="7" t="n">
        <v>5.9</v>
      </c>
    </row>
    <row r="188">
      <c r="A188" s="7" t="inlineStr">
        <is>
          <t>/tv-media/blogs/id/18732/matchmaking-firms-based-outside-the-us-what-recourse-do-you-have</t>
        </is>
      </c>
      <c r="B188" s="8" t="n">
        <v>30</v>
      </c>
      <c r="C188" s="7" t="n">
        <v>0</v>
      </c>
      <c r="D188" s="7" t="n">
        <v>8.1</v>
      </c>
    </row>
    <row r="189">
      <c r="A189" s="7" t="inlineStr">
        <is>
          <t>/tv-media/blogs/id/18623/professional-matchmaking-in-houston-what-to-expect</t>
        </is>
      </c>
      <c r="B189" s="8" t="n">
        <v>29</v>
      </c>
      <c r="C189" s="7" t="n">
        <v>0</v>
      </c>
      <c r="D189" s="7" t="n">
        <v>5.3</v>
      </c>
    </row>
    <row r="190">
      <c r="A190" s="7" t="inlineStr">
        <is>
          <t>/tv-media/blogs/id/18609/finding-love-on-floridas-gulf-coast-how-sarasota-tampa-bay-and-fort-myers-compare</t>
        </is>
      </c>
      <c r="B190" s="8" t="n">
        <v>28</v>
      </c>
      <c r="C190" s="7" t="n">
        <v>0</v>
      </c>
      <c r="D190" s="7" t="n">
        <v>17.1</v>
      </c>
    </row>
    <row r="191">
      <c r="A191" s="7" t="inlineStr">
        <is>
          <t>/tv-media/blogs/id/18664/short-hills-matchmaker-for-professionals-on-the-midtown-direct</t>
        </is>
      </c>
      <c r="B191" s="8" t="n">
        <v>28</v>
      </c>
      <c r="C191" s="7" t="n">
        <v>0</v>
      </c>
      <c r="D191" s="7" t="n">
        <v>6.1</v>
      </c>
    </row>
    <row r="192">
      <c r="A192" s="7" t="inlineStr">
        <is>
          <t>/tv-media/blogs/id/18680/your-personal-matchmaker-in-great-falls-va</t>
        </is>
      </c>
      <c r="B192" s="8" t="n">
        <v>28</v>
      </c>
      <c r="C192" s="7" t="n">
        <v>0</v>
      </c>
      <c r="D192" s="7" t="n">
        <v>15.6</v>
      </c>
    </row>
    <row r="193">
      <c r="A193" s="7" t="inlineStr">
        <is>
          <t>/tv-media/blogs/id/18710/what-happens-in-a-matchmaker-consultation</t>
        </is>
      </c>
      <c r="B193" s="8" t="n">
        <v>28</v>
      </c>
      <c r="C193" s="7" t="n">
        <v>0</v>
      </c>
      <c r="D193" s="7" t="n">
        <v>5.3</v>
      </c>
    </row>
    <row r="194">
      <c r="A194" s="7" t="inlineStr">
        <is>
          <t>/tv-media/blogs/id/18659/atherton-matchmaker-privacy-in-a-town-with-no-downtown</t>
        </is>
      </c>
      <c r="B194" s="8" t="n">
        <v>26</v>
      </c>
      <c r="C194" s="7" t="n">
        <v>1</v>
      </c>
      <c r="D194" s="7" t="n">
        <v>9.199999999999999</v>
      </c>
    </row>
    <row r="195">
      <c r="A195" s="7" t="inlineStr">
        <is>
          <t>/tv-media/blogs/id/18564/how-i-found-the-perfect-professional-matchmaker-near-me-a-comprehensive-guide</t>
        </is>
      </c>
      <c r="B195" s="8" t="n">
        <v>26</v>
      </c>
      <c r="C195" s="7" t="n">
        <v>0</v>
      </c>
      <c r="D195" s="7" t="n">
        <v>62.3</v>
      </c>
    </row>
    <row r="196">
      <c r="A196" s="7" t="inlineStr">
        <is>
          <t>/tv-media/blogs/id/18720/las-vegas-matchmaker-the-valley-not-the-strip</t>
        </is>
      </c>
      <c r="B196" s="8" t="n">
        <v>26</v>
      </c>
      <c r="C196" s="7" t="n">
        <v>0</v>
      </c>
      <c r="D196" s="7" t="n">
        <v>10.6</v>
      </c>
    </row>
    <row r="197">
      <c r="A197" s="7" t="inlineStr">
        <is>
          <t>/tv-media/blogs/id/18727/matchmakers-for-widows-and-widowers</t>
        </is>
      </c>
      <c r="B197" s="8" t="n">
        <v>26</v>
      </c>
      <c r="C197" s="7" t="n">
        <v>0</v>
      </c>
      <c r="D197" s="7" t="n">
        <v>6.3</v>
      </c>
    </row>
    <row r="198">
      <c r="A198" s="7" t="inlineStr">
        <is>
          <t>/tv-media/blogs/id/4504/the-virtues-and-downsides-of-online-dating</t>
        </is>
      </c>
      <c r="B198" s="8" t="n">
        <v>26</v>
      </c>
      <c r="C198" s="7" t="n">
        <v>0</v>
      </c>
      <c r="D198" s="7" t="n">
        <v>18.7</v>
      </c>
    </row>
    <row r="199">
      <c r="A199" s="7" t="inlineStr">
        <is>
          <t>/tv-media/blogs/id/238/only-54-of-tinder-users-are-single</t>
        </is>
      </c>
      <c r="B199" s="8" t="n">
        <v>25</v>
      </c>
      <c r="C199" s="7" t="n">
        <v>0</v>
      </c>
      <c r="D199" s="7" t="n">
        <v>25.7</v>
      </c>
    </row>
    <row r="200">
      <c r="A200" s="7" t="inlineStr">
        <is>
          <t>/tv-media/blogs/id/254/9-signs-your-phone-is-ruining-your-relationship</t>
        </is>
      </c>
      <c r="B200" s="8" t="n">
        <v>24</v>
      </c>
      <c r="C200" s="7" t="n">
        <v>0</v>
      </c>
      <c r="D200" s="7" t="n">
        <v>17.4</v>
      </c>
    </row>
    <row r="201">
      <c r="A201" s="7" t="inlineStr">
        <is>
          <t>/tv-media/blogs/id/18582/first-date-fashion-101-what-to-wear-for-a-memorable-impression</t>
        </is>
      </c>
      <c r="B201" s="8" t="n">
        <v>23</v>
      </c>
      <c r="C201" s="7" t="n">
        <v>0</v>
      </c>
      <c r="D201" s="7" t="n">
        <v>13.5</v>
      </c>
    </row>
    <row r="202">
      <c r="A202" s="7" t="inlineStr">
        <is>
          <t>/tv-media/blogs/id/18593/how-can-i-meet-serious-or-committed-partners-in-los-angeles</t>
        </is>
      </c>
      <c r="B202" s="8" t="n">
        <v>23</v>
      </c>
      <c r="C202" s="7" t="n">
        <v>0</v>
      </c>
      <c r="D202" s="7" t="n">
        <v>14</v>
      </c>
    </row>
    <row r="203">
      <c r="A203" s="7" t="inlineStr">
        <is>
          <t>/tv-media/blogs/id/18598/the-2026-guide-to-professional-matchmaking-costs-factors-fees-and-roi</t>
        </is>
      </c>
      <c r="B203" s="8" t="n">
        <v>23</v>
      </c>
      <c r="C203" s="7" t="n">
        <v>0</v>
      </c>
      <c r="D203" s="7" t="n">
        <v>3.3</v>
      </c>
    </row>
    <row r="204">
      <c r="A204" s="7" t="inlineStr">
        <is>
          <t>/tv-media/blogs/id/18594/best-matchmaker-in-los-angeles</t>
        </is>
      </c>
      <c r="B204" s="8" t="n">
        <v>22</v>
      </c>
      <c r="C204" s="7" t="n">
        <v>0</v>
      </c>
      <c r="D204" s="7" t="n">
        <v>37.6</v>
      </c>
    </row>
    <row r="205">
      <c r="A205" s="7" t="inlineStr">
        <is>
          <t>/tv-media/blogs/id/18622/what-a-philadelphia-matchmaker-does-that-dating-apps-cant</t>
        </is>
      </c>
      <c r="B205" s="8" t="n">
        <v>22</v>
      </c>
      <c r="C205" s="7" t="n">
        <v>0</v>
      </c>
      <c r="D205" s="7" t="n">
        <v>9.300000000000001</v>
      </c>
    </row>
    <row r="206">
      <c r="A206" s="7" t="inlineStr">
        <is>
          <t>/tv-media/blogs/id/18690/west-palm-beach-matchmaker-new-arrivals-and-long-residents</t>
        </is>
      </c>
      <c r="B206" s="8" t="n">
        <v>22</v>
      </c>
      <c r="C206" s="7" t="n">
        <v>0</v>
      </c>
      <c r="D206" s="7" t="n">
        <v>13</v>
      </c>
    </row>
    <row r="207">
      <c r="A207" s="7" t="inlineStr">
        <is>
          <t>/tv-media/blogs/id/242/10-toxic-relationships-to-avoid-if-you-want-happiness-in-life-backed-by-science</t>
        </is>
      </c>
      <c r="B207" s="8" t="n">
        <v>22</v>
      </c>
      <c r="C207" s="7" t="n">
        <v>0</v>
      </c>
      <c r="D207" s="7" t="n">
        <v>5.4</v>
      </c>
    </row>
    <row r="208">
      <c r="A208" s="7" t="inlineStr">
        <is>
          <t>/TV-Media/Blogs/articleType/ArticleView/articleId/4504/The-Virtues-and-Downsides-of-Online-Dating</t>
        </is>
      </c>
      <c r="B208" s="8" t="n">
        <v>21</v>
      </c>
      <c r="C208" s="7" t="n">
        <v>0</v>
      </c>
      <c r="D208" s="7" t="n">
        <v>14.9</v>
      </c>
    </row>
    <row r="209">
      <c r="A209" s="7" t="inlineStr">
        <is>
          <t>/tv-media/blogs/id/18566/master-matchmakers-your-premier-service-to-meet-someone-near-you</t>
        </is>
      </c>
      <c r="B209" s="8" t="n">
        <v>21</v>
      </c>
      <c r="C209" s="7" t="n">
        <v>0</v>
      </c>
      <c r="D209" s="7" t="n">
        <v>22.2</v>
      </c>
    </row>
    <row r="210">
      <c r="A210" s="7" t="inlineStr">
        <is>
          <t>/tv-media/blogs/id/18697/how-matchmaking-differs-from-dating-on-your-own</t>
        </is>
      </c>
      <c r="B210" s="8" t="n">
        <v>20</v>
      </c>
      <c r="C210" s="7" t="n">
        <v>2</v>
      </c>
      <c r="D210" s="7" t="n">
        <v>7</v>
      </c>
    </row>
    <row r="211">
      <c r="A211" s="7" t="inlineStr">
        <is>
          <t>/tv-media/blogs/id/10/older-wiser-single-dating-need-to-know</t>
        </is>
      </c>
      <c r="B211" s="8" t="n">
        <v>20</v>
      </c>
      <c r="C211" s="7" t="n">
        <v>0</v>
      </c>
      <c r="D211" s="7" t="n">
        <v>29.6</v>
      </c>
    </row>
    <row r="212">
      <c r="A212" s="7" t="inlineStr">
        <is>
          <t>/tv-media/blogs/id/18584/case-study-drew-and-karen--a-master-matchmakers-success-story</t>
        </is>
      </c>
      <c r="B212" s="8" t="n">
        <v>20</v>
      </c>
      <c r="C212" s="7" t="n">
        <v>0</v>
      </c>
      <c r="D212" s="7" t="n">
        <v>42.8</v>
      </c>
    </row>
    <row r="213">
      <c r="A213" s="7" t="inlineStr">
        <is>
          <t>/tv-media/blogs/id/18616/where-is-matchmaking-most-popular-the-top-us-cities-and-regions-for-professional-dating-services</t>
        </is>
      </c>
      <c r="B213" s="8" t="n">
        <v>20</v>
      </c>
      <c r="C213" s="7" t="n">
        <v>0</v>
      </c>
      <c r="D213" s="7" t="n">
        <v>4.7</v>
      </c>
    </row>
    <row r="214">
      <c r="A214" s="7" t="inlineStr">
        <is>
          <t>/tv-media/blogs/id/18583/love-bombing-exposed-how-to-detect-and-deal-with-manipulative-tactics</t>
        </is>
      </c>
      <c r="B214" s="8" t="n">
        <v>19</v>
      </c>
      <c r="C214" s="7" t="n">
        <v>0</v>
      </c>
      <c r="D214" s="7" t="n">
        <v>36.6</v>
      </c>
    </row>
    <row r="215">
      <c r="A215" s="7" t="inlineStr">
        <is>
          <t>/tv-media/blogs/id/18705/santa-barbara-matchmaker-a-smaller-pool-than-it-looks</t>
        </is>
      </c>
      <c r="B215" s="8" t="n">
        <v>19</v>
      </c>
      <c r="C215" s="7" t="n">
        <v>0</v>
      </c>
      <c r="D215" s="7" t="n">
        <v>8.6</v>
      </c>
    </row>
    <row r="216">
      <c r="A216" s="7" t="inlineStr">
        <is>
          <t>/register?returnurl=%2Ftennessee-matchmaker</t>
        </is>
      </c>
      <c r="B216" s="8" t="n">
        <v>18</v>
      </c>
      <c r="C216" s="7" t="n">
        <v>0</v>
      </c>
      <c r="D216" s="7" t="n">
        <v>5.1</v>
      </c>
    </row>
    <row r="217">
      <c r="A217" s="7" t="inlineStr">
        <is>
          <t>/tv-media/blogs/id/11/exercise-your-dating-muscles</t>
        </is>
      </c>
      <c r="B217" s="8" t="n">
        <v>18</v>
      </c>
      <c r="C217" s="7" t="n">
        <v>0</v>
      </c>
      <c r="D217" s="7" t="n">
        <v>21.1</v>
      </c>
    </row>
    <row r="218">
      <c r="A218" s="7" t="inlineStr">
        <is>
          <t>/tv-media/blogs/id/18573/the-journey-of-master-matchmakers-from-philadelphia-beginnings-to-a-nationwide-presence</t>
        </is>
      </c>
      <c r="B218" s="8" t="n">
        <v>17</v>
      </c>
      <c r="C218" s="7" t="n">
        <v>0</v>
      </c>
      <c r="D218" s="7" t="n">
        <v>16.8</v>
      </c>
    </row>
    <row r="219">
      <c r="A219" s="7" t="inlineStr">
        <is>
          <t>/tv-media/blogs/id/18706/executive-dating-services-for-people-with-no-spare-evenings</t>
        </is>
      </c>
      <c r="B219" s="8" t="n">
        <v>17</v>
      </c>
      <c r="C219" s="7" t="n">
        <v>0</v>
      </c>
      <c r="D219" s="7" t="n">
        <v>11.2</v>
      </c>
    </row>
    <row r="220">
      <c r="A220" s="7" t="inlineStr">
        <is>
          <t>/tv-media/blogs/id/18548/jimmy-fallon-steve-and-monica-ward</t>
        </is>
      </c>
      <c r="B220" s="8" t="n">
        <v>16</v>
      </c>
      <c r="C220" s="7" t="n">
        <v>2</v>
      </c>
      <c r="D220" s="7" t="n">
        <v>22.7</v>
      </c>
    </row>
    <row r="221">
      <c r="A221" s="7" t="inlineStr">
        <is>
          <t>/tv-media/blogs/articletype/articleview/articleid/18597/why-master-matchmakers-is-the-best-matchmaker-in-san-francisco</t>
        </is>
      </c>
      <c r="B221" s="8" t="n">
        <v>16</v>
      </c>
      <c r="C221" s="7" t="n">
        <v>0</v>
      </c>
      <c r="D221" s="7" t="n">
        <v>63.5</v>
      </c>
    </row>
    <row r="222">
      <c r="A222" s="7" t="inlineStr">
        <is>
          <t>/tv-media/blogs/id/18712/how-a-matchmaker-personalizes-a-search</t>
        </is>
      </c>
      <c r="B222" s="8" t="n">
        <v>16</v>
      </c>
      <c r="C222" s="7" t="n">
        <v>0</v>
      </c>
      <c r="D222" s="7" t="n">
        <v>9.1</v>
      </c>
    </row>
    <row r="223">
      <c r="A223" s="7" t="inlineStr">
        <is>
          <t>/tv-media/blogs/id/18729/fresno-matchmaker-the-people-you-have-not-already-met</t>
        </is>
      </c>
      <c r="B223" s="8" t="n">
        <v>16</v>
      </c>
      <c r="C223" s="7" t="n">
        <v>0</v>
      </c>
      <c r="D223" s="7" t="n">
        <v>13.2</v>
      </c>
    </row>
    <row r="224">
      <c r="A224" s="7" t="inlineStr">
        <is>
          <t>/tv-media/blogs/id/18691/austin-matchmaker-more-than-one-kind-of-professional</t>
        </is>
      </c>
      <c r="B224" s="8" t="n">
        <v>15</v>
      </c>
      <c r="C224" s="7" t="n">
        <v>0</v>
      </c>
      <c r="D224" s="7" t="n">
        <v>7.6</v>
      </c>
    </row>
    <row r="225">
      <c r="A225" s="7" t="inlineStr">
        <is>
          <t>/tv-media/blogs/id/18693/looking-for-a-matchmaker-in-southlake-tx</t>
        </is>
      </c>
      <c r="B225" s="8" t="n">
        <v>15</v>
      </c>
      <c r="C225" s="7" t="n">
        <v>0</v>
      </c>
      <c r="D225" s="7" t="n">
        <v>7.6</v>
      </c>
    </row>
    <row r="226">
      <c r="A226" s="7" t="inlineStr">
        <is>
          <t>/tv-media/blogs/id/18577/five-things-you-should-ask-before-hiring-a-new-york-matchmaker</t>
        </is>
      </c>
      <c r="B226" s="8" t="n">
        <v>14</v>
      </c>
      <c r="C226" s="7" t="n">
        <v>0</v>
      </c>
      <c r="D226" s="7" t="n">
        <v>9.699999999999999</v>
      </c>
    </row>
    <row r="227">
      <c r="A227" s="7" t="inlineStr">
        <is>
          <t>/tv-media/blogs/id/18692/hinsdale-il-matchmaker-for-commuters-and-hospital-hours</t>
        </is>
      </c>
      <c r="B227" s="8" t="n">
        <v>13</v>
      </c>
      <c r="C227" s="7" t="n">
        <v>0</v>
      </c>
      <c r="D227" s="7" t="n">
        <v>26.8</v>
      </c>
    </row>
    <row r="228">
      <c r="A228" s="7" t="inlineStr">
        <is>
          <t>/tv-media/blogs/id/18585/why-master-matchmakers-stands-out-as-one-of-the-nations-best-matchmakers</t>
        </is>
      </c>
      <c r="B228" s="8" t="n">
        <v>12</v>
      </c>
      <c r="C228" s="7" t="n">
        <v>0</v>
      </c>
      <c r="D228" s="7" t="n">
        <v>11</v>
      </c>
    </row>
    <row r="229">
      <c r="A229" s="7" t="inlineStr">
        <is>
          <t>/tv-media/blogs/id/18597/why-master-matchmakers-is-the-best-matchmaker-in-san-francisco</t>
        </is>
      </c>
      <c r="B229" s="8" t="n">
        <v>12</v>
      </c>
      <c r="C229" s="7" t="n">
        <v>0</v>
      </c>
      <c r="D229" s="7" t="n">
        <v>10.9</v>
      </c>
    </row>
    <row r="230">
      <c r="A230" s="7" t="inlineStr">
        <is>
          <t>/tv-media/blogs/id/18622/categoryid/1/what-a-philadelphia-matchmaker-does-that-dating-apps-cant</t>
        </is>
      </c>
      <c r="B230" s="8" t="n">
        <v>12</v>
      </c>
      <c r="C230" s="7" t="n">
        <v>0</v>
      </c>
      <c r="D230" s="7" t="n">
        <v>5.4</v>
      </c>
    </row>
    <row r="231">
      <c r="A231" s="7" t="inlineStr">
        <is>
          <t>/tv-media/blogs/id/18713/matchmaking-when-marriage-is-the-goal</t>
        </is>
      </c>
      <c r="B231" s="8" t="n">
        <v>12</v>
      </c>
      <c r="C231" s="7" t="n">
        <v>0</v>
      </c>
      <c r="D231" s="7" t="n">
        <v>8.6</v>
      </c>
    </row>
    <row r="232">
      <c r="A232" s="7" t="inlineStr">
        <is>
          <t>/tv-media/blogs/id/272/researchers-have-figured-out-the-one-thing-not-to-do-in-your-online-dating-profile</t>
        </is>
      </c>
      <c r="B232" s="8" t="n">
        <v>12</v>
      </c>
      <c r="C232" s="7" t="n">
        <v>0</v>
      </c>
      <c r="D232" s="7" t="n">
        <v>12.8</v>
      </c>
    </row>
    <row r="233">
      <c r="A233" s="7" t="inlineStr">
        <is>
          <t>/tv-media/blogs/id/18667/hamptons-matchmaker-dating-beyond-the-summer-season</t>
        </is>
      </c>
      <c r="B233" s="8" t="n">
        <v>11</v>
      </c>
      <c r="C233" s="7" t="n">
        <v>1</v>
      </c>
      <c r="D233" s="7" t="n">
        <v>4.7</v>
      </c>
    </row>
    <row r="234">
      <c r="A234" s="7" t="inlineStr">
        <is>
          <t>/tv-media/blogs/id/18568/the-cure-to-your-dating-app-fatigue-why-a-modern-day-matchmaker-is-the-answer</t>
        </is>
      </c>
      <c r="B234" s="8" t="n">
        <v>11</v>
      </c>
      <c r="C234" s="7" t="n">
        <v>0</v>
      </c>
      <c r="D234" s="7" t="n">
        <v>50.5</v>
      </c>
    </row>
    <row r="235">
      <c r="A235" s="7" t="inlineStr">
        <is>
          <t>/tv-media/blogs/id/18719/nashville-matchmaker-two-economies-opposite-schedules</t>
        </is>
      </c>
      <c r="B235" s="8" t="n">
        <v>11</v>
      </c>
      <c r="C235" s="7" t="n">
        <v>0</v>
      </c>
      <c r="D235" s="7" t="n">
        <v>4.6</v>
      </c>
    </row>
    <row r="236">
      <c r="A236" s="7" t="inlineStr">
        <is>
          <t>/tv-media/blogs/id/45/jimmy-fallon-steve-and-joann-ward</t>
        </is>
      </c>
      <c r="B236" s="8" t="n">
        <v>11</v>
      </c>
      <c r="C236" s="7" t="n">
        <v>0</v>
      </c>
      <c r="D236" s="7" t="n">
        <v>22.6</v>
      </c>
    </row>
    <row r="237">
      <c r="A237" s="7" t="inlineStr">
        <is>
          <t>/TV-Media/Blogs/articleType/ArticleView/articleId/246/Research-Shows-Friend-Zone-Is-Not-A-Dead-Zone</t>
        </is>
      </c>
      <c r="B237" s="8" t="n">
        <v>10</v>
      </c>
      <c r="C237" s="7" t="n">
        <v>0</v>
      </c>
      <c r="D237" s="7" t="n">
        <v>15.8</v>
      </c>
    </row>
    <row r="238">
      <c r="A238" s="7" t="inlineStr">
        <is>
          <t>/tv-media/blogs/id/18721/sacramento-matchmaker-dating-around-the-session-calendar</t>
        </is>
      </c>
      <c r="B238" s="8" t="n">
        <v>10</v>
      </c>
      <c r="C238" s="7" t="n">
        <v>0</v>
      </c>
      <c r="D238" s="7" t="n">
        <v>16.1</v>
      </c>
    </row>
    <row r="239">
      <c r="A239" s="7" t="inlineStr">
        <is>
          <t>/tv-media/blogs/id/18733/what-a-fifty-thousand-dollar-retainer-buys-that-thirty-five-hundred-does-not</t>
        </is>
      </c>
      <c r="B239" s="8" t="n">
        <v>10</v>
      </c>
      <c r="C239" s="7" t="n">
        <v>0</v>
      </c>
      <c r="D239" s="7" t="n">
        <v>3.8</v>
      </c>
    </row>
    <row r="240">
      <c r="A240" s="7" t="inlineStr">
        <is>
          <t>/TV-Media/Blogs/articleType/ArticleView/articleId/104/Top-5-Reasons-Why-People-Cheat</t>
        </is>
      </c>
      <c r="B240" s="8" t="n">
        <v>9</v>
      </c>
      <c r="C240" s="7" t="n">
        <v>1</v>
      </c>
      <c r="D240" s="7" t="n">
        <v>30.1</v>
      </c>
    </row>
    <row r="241">
      <c r="A241" s="7" t="inlineStr">
        <is>
          <t>/TV-Media/Blogs/articleType/ArticleView/articleId/18612</t>
        </is>
      </c>
      <c r="B241" s="8" t="n">
        <v>9</v>
      </c>
      <c r="C241" s="7" t="n">
        <v>0</v>
      </c>
      <c r="D241" s="7" t="n">
        <v>9.4</v>
      </c>
    </row>
    <row r="242">
      <c r="A242" s="7" t="inlineStr">
        <is>
          <t>/TV-Media/Blogs/articleType/ArticleView/articleId/4494/One-year-later-how-Trumps-election-has-changed-the-way-we-date</t>
        </is>
      </c>
      <c r="B242" s="8" t="n">
        <v>9</v>
      </c>
      <c r="C242" s="7" t="n">
        <v>0</v>
      </c>
      <c r="D242" s="7" t="n">
        <v>6.8</v>
      </c>
    </row>
    <row r="243">
      <c r="A243" s="7" t="inlineStr">
        <is>
          <t>/tv-media/blogs/id/18658/los-altos-matchmaker-settled-serious-introductions</t>
        </is>
      </c>
      <c r="B243" s="8" t="n">
        <v>9</v>
      </c>
      <c r="C243" s="7" t="n">
        <v>0</v>
      </c>
      <c r="D243" s="7" t="n">
        <v>4.2</v>
      </c>
    </row>
    <row r="244">
      <c r="A244" s="7" t="inlineStr">
        <is>
          <t>/tv-media/blogs/id/266/what-ive-learned-returning-to-the-dating-pool-in-my-30s</t>
        </is>
      </c>
      <c r="B244" s="8" t="n">
        <v>9</v>
      </c>
      <c r="C244" s="7" t="n">
        <v>0</v>
      </c>
      <c r="D244" s="7" t="n">
        <v>19.8</v>
      </c>
    </row>
    <row r="245">
      <c r="A245" s="7" t="inlineStr">
        <is>
          <t>/tv-media/blogs/id/18681/elite-matchmaking-in-park-city-done-for-you</t>
        </is>
      </c>
      <c r="B245" s="8" t="n">
        <v>8</v>
      </c>
      <c r="C245" s="7" t="n">
        <v>1</v>
      </c>
      <c r="D245" s="7" t="n">
        <v>6.2</v>
      </c>
    </row>
    <row r="246">
      <c r="A246" s="7" t="inlineStr">
        <is>
          <t>/Register?returnurl=https%253a%252f%252fwww.mastermatchmakers.com%252flogin-admin&amp;popUp=true</t>
        </is>
      </c>
      <c r="B246" s="8" t="n">
        <v>8</v>
      </c>
      <c r="C246" s="7" t="n">
        <v>0</v>
      </c>
      <c r="D246" s="7" t="n">
        <v>6</v>
      </c>
    </row>
    <row r="247">
      <c r="A247" s="7" t="inlineStr">
        <is>
          <t>/TV-Media/Photos/Easter</t>
        </is>
      </c>
      <c r="B247" s="8" t="n">
        <v>8</v>
      </c>
      <c r="C247" s="7" t="n">
        <v>0</v>
      </c>
      <c r="D247" s="7" t="n">
        <v>5</v>
      </c>
    </row>
    <row r="248">
      <c r="A248" s="7" t="inlineStr">
        <is>
          <t>/tv-media/blogs/id/18591/the-roi-of-love-why-nycs-top-professionals-are-ditching-dating-apps-for-exclusive-matchmaking</t>
        </is>
      </c>
      <c r="B248" s="8" t="n">
        <v>8</v>
      </c>
      <c r="C248" s="7" t="n">
        <v>0</v>
      </c>
      <c r="D248" s="7" t="n">
        <v>7.5</v>
      </c>
    </row>
    <row r="249">
      <c r="A249" s="7" t="inlineStr">
        <is>
          <t>/tv-media/blogs/id/18595/unlocking-connections-what-is-professional-matchmaking</t>
        </is>
      </c>
      <c r="B249" s="8" t="n">
        <v>8</v>
      </c>
      <c r="C249" s="7" t="n">
        <v>0</v>
      </c>
      <c r="D249" s="7" t="n">
        <v>11.8</v>
      </c>
    </row>
    <row r="250">
      <c r="A250" s="7" t="inlineStr">
        <is>
          <t>/tv-media/blogs/id/18657/la-jolla-matchmaker-introductions-in-the-research-corridor</t>
        </is>
      </c>
      <c r="B250" s="8" t="n">
        <v>8</v>
      </c>
      <c r="C250" s="7" t="n">
        <v>0</v>
      </c>
      <c r="D250" s="7" t="n">
        <v>8.199999999999999</v>
      </c>
    </row>
    <row r="251">
      <c r="A251" s="7" t="inlineStr">
        <is>
          <t>/tv-media/blogs/id/3805/ranking-compares-all-50-states-and-dc-for-online-dating-safety</t>
        </is>
      </c>
      <c r="B251" s="8" t="n">
        <v>8</v>
      </c>
      <c r="C251" s="7" t="n">
        <v>0</v>
      </c>
      <c r="D251" s="7" t="n">
        <v>17</v>
      </c>
    </row>
    <row r="252">
      <c r="A252" s="7" t="inlineStr">
        <is>
          <t>/tv-media/blogs/id/69/why-marriage-minded-women-outnumber-marriage-minded-men</t>
        </is>
      </c>
      <c r="B252" s="8" t="n">
        <v>8</v>
      </c>
      <c r="C252" s="7" t="n">
        <v>0</v>
      </c>
      <c r="D252" s="7" t="n">
        <v>7.2</v>
      </c>
    </row>
    <row r="253">
      <c r="A253" s="7" t="inlineStr">
        <is>
          <t>/TV-Media/Blogs/articleType/ArticleView/articleId/18561/categoryId/1/5-Things-to-Research-Before-Hiring-a-Matchmaker</t>
        </is>
      </c>
      <c r="B253" s="8" t="n">
        <v>7</v>
      </c>
      <c r="C253" s="7" t="n">
        <v>0</v>
      </c>
      <c r="D253" s="7" t="n">
        <v>4.9</v>
      </c>
    </row>
    <row r="254">
      <c r="A254" s="7" t="inlineStr">
        <is>
          <t>/TV-Media/Blogs/articleType/ArticleView/articleId/18568/categoryId/1/The-Cure-to-Your-Dating-App-Fatigue-Why-a-Modern-Day-Matchmaker-is-the-Answer</t>
        </is>
      </c>
      <c r="B254" s="8" t="n">
        <v>7</v>
      </c>
      <c r="C254" s="7" t="n">
        <v>0</v>
      </c>
      <c r="D254" s="7" t="n">
        <v>47.3</v>
      </c>
    </row>
    <row r="255">
      <c r="A255" s="7" t="inlineStr">
        <is>
          <t>/tv-media/blogs/id/18581/categoryid/1/questions-to-ask-when-you-hire-a-matchmaker</t>
        </is>
      </c>
      <c r="B255" s="8" t="n">
        <v>7</v>
      </c>
      <c r="C255" s="7" t="n">
        <v>0</v>
      </c>
      <c r="D255" s="7" t="n">
        <v>25</v>
      </c>
    </row>
    <row r="256">
      <c r="A256" s="7" t="inlineStr">
        <is>
          <t>/tv-media/blogs/id/18656/del-mar-matchmaker-a-small-village-a-wider-search</t>
        </is>
      </c>
      <c r="B256" s="8" t="n">
        <v>7</v>
      </c>
      <c r="C256" s="7" t="n">
        <v>0</v>
      </c>
      <c r="D256" s="7" t="n">
        <v>4.9</v>
      </c>
    </row>
    <row r="257">
      <c r="A257" s="7" t="inlineStr">
        <is>
          <t>/tv-media/blogs/id/18724/scottsdale-matchmaker-who-stays-after-april</t>
        </is>
      </c>
      <c r="B257" s="8" t="n">
        <v>7</v>
      </c>
      <c r="C257" s="7" t="n">
        <v>0</v>
      </c>
      <c r="D257" s="7" t="n">
        <v>14.3</v>
      </c>
    </row>
    <row r="258">
      <c r="A258" s="7" t="inlineStr">
        <is>
          <t>/tv-media/blogs/id/243/fbi-says-seeking-love-online-often-leads-to-fraud</t>
        </is>
      </c>
      <c r="B258" s="8" t="n">
        <v>7</v>
      </c>
      <c r="C258" s="7" t="n">
        <v>0</v>
      </c>
      <c r="D258" s="7" t="n">
        <v>6.7</v>
      </c>
    </row>
    <row r="259">
      <c r="A259" s="7" t="inlineStr">
        <is>
          <t>/TV-Media/Blogs/articleType/ArticleView/articleId/103/Hanging-by-a-Hairs-Breadth</t>
        </is>
      </c>
      <c r="B259" s="8" t="n">
        <v>6</v>
      </c>
      <c r="C259" s="7" t="n">
        <v>0</v>
      </c>
      <c r="D259" s="7" t="n">
        <v>5.7</v>
      </c>
    </row>
    <row r="260">
      <c r="A260" s="7" t="inlineStr">
        <is>
          <t>/tv-media/blogs/id/18554/joann-ward-on-natfluence</t>
        </is>
      </c>
      <c r="B260" s="8" t="n">
        <v>6</v>
      </c>
      <c r="C260" s="7" t="n">
        <v>0</v>
      </c>
      <c r="D260" s="7" t="n">
        <v>12</v>
      </c>
    </row>
    <row r="261">
      <c r="A261" s="7" t="inlineStr">
        <is>
          <t>/tv-media/blogs/id/18612/categoryid/1/how-to-choose-the-right-matchmaker-in-florida-a-buyers-guide-for-serious-singles</t>
        </is>
      </c>
      <c r="B261" s="8" t="n">
        <v>6</v>
      </c>
      <c r="C261" s="7" t="n">
        <v>0</v>
      </c>
      <c r="D261" s="7" t="n">
        <v>11.8</v>
      </c>
    </row>
    <row r="262">
      <c r="A262" s="7" t="inlineStr">
        <is>
          <t>/tv-media/blogs/id/18722/st-louis-matchmaker-two-worlds-a-few-miles-apart</t>
        </is>
      </c>
      <c r="B262" s="8" t="n">
        <v>6</v>
      </c>
      <c r="C262" s="7" t="n">
        <v>0</v>
      </c>
      <c r="D262" s="7" t="n">
        <v>22.3</v>
      </c>
    </row>
    <row r="263">
      <c r="A263" s="7" t="inlineStr">
        <is>
          <t>/tv-media/blogs/id/264/math-says-this-is-the-perfect-age-to-get-married</t>
        </is>
      </c>
      <c r="B263" s="8" t="n">
        <v>6</v>
      </c>
      <c r="C263" s="7" t="n">
        <v>0</v>
      </c>
      <c r="D263" s="7" t="n">
        <v>13</v>
      </c>
    </row>
    <row r="264">
      <c r="A264" s="7" t="inlineStr">
        <is>
          <t>/tv-media/blogs/id/18558/finding-love-on-linkedin-2024</t>
        </is>
      </c>
      <c r="B264" s="8" t="n">
        <v>5</v>
      </c>
      <c r="C264" s="7" t="n">
        <v>0</v>
      </c>
      <c r="D264" s="7" t="n">
        <v>35.2</v>
      </c>
    </row>
    <row r="265">
      <c r="A265" s="7" t="inlineStr">
        <is>
          <t>/tv-media/blogs/id/18562/7-reasons-why-a-professional-matchmaker-is-a-good-investment</t>
        </is>
      </c>
      <c r="B265" s="8" t="n">
        <v>5</v>
      </c>
      <c r="C265" s="7" t="n">
        <v>0</v>
      </c>
      <c r="D265" s="7" t="n">
        <v>41.6</v>
      </c>
    </row>
    <row r="266">
      <c r="A266" s="7" t="inlineStr">
        <is>
          <t>/TV-Media/Blogs/articleType/ArticleView/articleId/18608</t>
        </is>
      </c>
      <c r="B266" s="8" t="n">
        <v>4</v>
      </c>
      <c r="C266" s="7" t="n">
        <v>1</v>
      </c>
      <c r="D266" s="7" t="n">
        <v>2</v>
      </c>
    </row>
    <row r="267">
      <c r="A267" s="7" t="inlineStr">
        <is>
          <t>/tv-media/blogs/id/18587/no-match-for-valentines-day-no-problem-5-proven-ways-to-find-love</t>
        </is>
      </c>
      <c r="B267" s="8" t="n">
        <v>4</v>
      </c>
      <c r="C267" s="7" t="n">
        <v>1</v>
      </c>
      <c r="D267" s="7" t="n">
        <v>43</v>
      </c>
    </row>
    <row r="268">
      <c r="A268" s="7" t="inlineStr">
        <is>
          <t>/Los_Angeles_Matchmaking_Service.aspx</t>
        </is>
      </c>
      <c r="B268" s="8" t="n">
        <v>4</v>
      </c>
      <c r="C268" s="7" t="n">
        <v>0</v>
      </c>
      <c r="D268" s="7" t="n">
        <v>3.2</v>
      </c>
    </row>
    <row r="269">
      <c r="A269" s="7" t="inlineStr">
        <is>
          <t>/Register</t>
        </is>
      </c>
      <c r="B269" s="8" t="n">
        <v>4</v>
      </c>
      <c r="C269" s="7" t="n">
        <v>0</v>
      </c>
      <c r="D269" s="7" t="n">
        <v>3.5</v>
      </c>
    </row>
    <row r="270">
      <c r="A270" s="7" t="inlineStr">
        <is>
          <t>/tv-media/blogs/id/100/vulgar-vigilantes-of-tinder-okcupid</t>
        </is>
      </c>
      <c r="B270" s="8" t="n">
        <v>4</v>
      </c>
      <c r="C270" s="7" t="n">
        <v>0</v>
      </c>
      <c r="D270" s="7" t="n">
        <v>4.5</v>
      </c>
    </row>
    <row r="271">
      <c r="A271" s="7" t="inlineStr">
        <is>
          <t>/tv-media/blogs/id/103/hanging-by-a-hairs-breadth</t>
        </is>
      </c>
      <c r="B271" s="8" t="n">
        <v>4</v>
      </c>
      <c r="C271" s="7" t="n">
        <v>0</v>
      </c>
      <c r="D271" s="7" t="n">
        <v>27</v>
      </c>
    </row>
    <row r="272">
      <c r="A272" s="7" t="inlineStr">
        <is>
          <t>/tv-media/blogs/id/18583/categoryid/1/love-bombing-exposed-how-to-detect-and-deal-with-manipulative-tactics</t>
        </is>
      </c>
      <c r="B272" s="8" t="n">
        <v>4</v>
      </c>
      <c r="C272" s="7" t="n">
        <v>0</v>
      </c>
      <c r="D272" s="7" t="n">
        <v>18.8</v>
      </c>
    </row>
    <row r="273">
      <c r="A273" s="7" t="inlineStr">
        <is>
          <t>/tv-media/blogs/id/256/online-matchmaking-but-with-dogs-as-dates</t>
        </is>
      </c>
      <c r="B273" s="8" t="n">
        <v>4</v>
      </c>
      <c r="C273" s="7" t="n">
        <v>0</v>
      </c>
      <c r="D273" s="7" t="n">
        <v>19</v>
      </c>
    </row>
    <row r="274">
      <c r="A274" s="7" t="inlineStr">
        <is>
          <t>/tv-media/blogs/id/3808/youre-never-going-to-be-happily-married-unless</t>
        </is>
      </c>
      <c r="B274" s="8" t="n">
        <v>4</v>
      </c>
      <c r="C274" s="7" t="n">
        <v>0</v>
      </c>
      <c r="D274" s="7" t="n">
        <v>3.2</v>
      </c>
    </row>
    <row r="275">
      <c r="A275" s="7" t="inlineStr">
        <is>
          <t>/tv-media/blogs/id/98/when-dating-online-just-copy-and-paste</t>
        </is>
      </c>
      <c r="B275" s="8" t="n">
        <v>4</v>
      </c>
      <c r="C275" s="7" t="n">
        <v>0</v>
      </c>
      <c r="D275" s="7" t="n">
        <v>5.5</v>
      </c>
    </row>
    <row r="276">
      <c r="A276" s="7" t="inlineStr">
        <is>
          <t>/TV-Media/Blogs/articleType/ArticleView/articleId/18564</t>
        </is>
      </c>
      <c r="B276" s="8" t="n">
        <v>3</v>
      </c>
      <c r="C276" s="7" t="n">
        <v>0</v>
      </c>
      <c r="D276" s="7" t="n">
        <v>73.3</v>
      </c>
    </row>
    <row r="277">
      <c r="A277" s="7" t="inlineStr">
        <is>
          <t>/tv-media/blogs/id/18564/categoryid/1/how-i-found-the-perfect-professional-matchmaker-near-me-a-comprehensive-guide</t>
        </is>
      </c>
      <c r="B277" s="8" t="n">
        <v>3</v>
      </c>
      <c r="C277" s="7" t="n">
        <v>0</v>
      </c>
      <c r="D277" s="7" t="n">
        <v>77</v>
      </c>
    </row>
    <row r="278">
      <c r="A278" s="7" t="inlineStr">
        <is>
          <t>/tv-media/blogs/id/18565/categoryid/1/the-benefits-of-professional-matchmaking-services</t>
        </is>
      </c>
      <c r="B278" s="8" t="n">
        <v>3</v>
      </c>
      <c r="C278" s="7" t="n">
        <v>0</v>
      </c>
      <c r="D278" s="7" t="n">
        <v>79.7</v>
      </c>
    </row>
    <row r="279">
      <c r="A279" s="7" t="inlineStr">
        <is>
          <t>/tv-media/blogs/id/18580/are-dating-apps-ruining-romance</t>
        </is>
      </c>
      <c r="B279" s="8" t="n">
        <v>3</v>
      </c>
      <c r="C279" s="7" t="n">
        <v>0</v>
      </c>
      <c r="D279" s="7" t="n">
        <v>47.7</v>
      </c>
    </row>
    <row r="280">
      <c r="A280" s="7" t="inlineStr">
        <is>
          <t>/tv-media/blogs/id/273/tinder-users-have-lower-self-esteem-study</t>
        </is>
      </c>
      <c r="B280" s="8" t="n">
        <v>3</v>
      </c>
      <c r="C280" s="7" t="n">
        <v>0</v>
      </c>
      <c r="D280" s="7" t="n">
        <v>26.3</v>
      </c>
    </row>
    <row r="281">
      <c r="A281" s="7" t="inlineStr">
        <is>
          <t>/tv-media/blogs/id/36/nbc-today-show</t>
        </is>
      </c>
      <c r="B281" s="8" t="n">
        <v>3</v>
      </c>
      <c r="C281" s="7" t="n">
        <v>0</v>
      </c>
      <c r="D281" s="7" t="n">
        <v>32</v>
      </c>
    </row>
    <row r="282">
      <c r="A282" s="7" t="inlineStr">
        <is>
          <t>/TV-Media/Blogs/articleType/ArticleView/articleId/18578/10-Reasons-to-Use-This-Boston-Matchmaking-Service-to-Meet-Your-Match</t>
        </is>
      </c>
      <c r="B282" s="8" t="n">
        <v>2</v>
      </c>
      <c r="C282" s="7" t="n">
        <v>0</v>
      </c>
      <c r="D282" s="7" t="n">
        <v>3</v>
      </c>
    </row>
    <row r="283">
      <c r="A283" s="7" t="inlineStr">
        <is>
          <t>/TV-Media/Blogs/articleType/ArticleView/articleId/18582/First-Date-Fashion-101-What-to-Wear-for-a-Memorable-Impression</t>
        </is>
      </c>
      <c r="B283" s="8" t="n">
        <v>2</v>
      </c>
      <c r="C283" s="7" t="n">
        <v>0</v>
      </c>
      <c r="D283" s="7" t="n">
        <v>12.5</v>
      </c>
    </row>
    <row r="284">
      <c r="A284" s="7" t="inlineStr">
        <is>
          <t>/TV-Media/Blogs/articleType/ArticleView/articleId/18594</t>
        </is>
      </c>
      <c r="B284" s="8" t="n">
        <v>2</v>
      </c>
      <c r="C284" s="7" t="n">
        <v>0</v>
      </c>
      <c r="D284" s="7" t="n">
        <v>37</v>
      </c>
    </row>
    <row r="285">
      <c r="A285" s="7" t="inlineStr">
        <is>
          <t>/tv-media/blogs/id/18556/healthy-framework-interview-with-master-matchmakers</t>
        </is>
      </c>
      <c r="B285" s="8" t="n">
        <v>2</v>
      </c>
      <c r="C285" s="7" t="n">
        <v>0</v>
      </c>
      <c r="D285" s="7" t="n">
        <v>5.5</v>
      </c>
    </row>
    <row r="286">
      <c r="A286" s="7" t="inlineStr">
        <is>
          <t>/tv-media/blogs/id/18568/categoryid/1/the-cure-to-your-dating-app-fatigue-why-a-modern-day-matchmaker-is-the-answer</t>
        </is>
      </c>
      <c r="B286" s="8" t="n">
        <v>2</v>
      </c>
      <c r="C286" s="7" t="n">
        <v>0</v>
      </c>
      <c r="D286" s="7" t="n">
        <v>33.5</v>
      </c>
    </row>
    <row r="287">
      <c r="A287" s="7" t="inlineStr">
        <is>
          <t>/tv-media/blogs/id/18573/categoryid/1/the-journey-of-master-matchmakers-from-philadelphia-beginnings-to-a-nationwide-presence</t>
        </is>
      </c>
      <c r="B287" s="8" t="n">
        <v>2</v>
      </c>
      <c r="C287" s="7" t="n">
        <v>0</v>
      </c>
      <c r="D287" s="7" t="n">
        <v>8</v>
      </c>
    </row>
    <row r="288">
      <c r="A288" s="7" t="inlineStr">
        <is>
          <t>/tv-media/blogs/id/18609/categoryid/1/finding-love-on-floridas-gulf-coast-how-sarasota-tampa-bay-and-fort-myers-compare</t>
        </is>
      </c>
      <c r="B288" s="8" t="n">
        <v>2</v>
      </c>
      <c r="C288" s="7" t="n">
        <v>0</v>
      </c>
      <c r="D288" s="7" t="n">
        <v>5</v>
      </c>
    </row>
    <row r="289">
      <c r="A289" s="7" t="inlineStr">
        <is>
          <t>/tv-media/blogs/id/255/10-signs-of-a-healthy-relationship</t>
        </is>
      </c>
      <c r="B289" s="8" t="n">
        <v>2</v>
      </c>
      <c r="C289" s="7" t="n">
        <v>0</v>
      </c>
      <c r="D289" s="7" t="n">
        <v>4.5</v>
      </c>
    </row>
    <row r="290">
      <c r="A290" s="7" t="inlineStr">
        <is>
          <t>/tv-media/blogs/id/269/sensitive-people-more-vulnerable-to-online-dating-scams</t>
        </is>
      </c>
      <c r="B290" s="8" t="n">
        <v>2</v>
      </c>
      <c r="C290" s="7" t="n">
        <v>0</v>
      </c>
      <c r="D290" s="7" t="n">
        <v>38.5</v>
      </c>
    </row>
    <row r="291">
      <c r="A291" s="7" t="inlineStr">
        <is>
          <t>/tv-media/blogs/id/276/why-netflix-can-actually-be-good-for-your-relationship</t>
        </is>
      </c>
      <c r="B291" s="8" t="n">
        <v>2</v>
      </c>
      <c r="C291" s="7" t="n">
        <v>0</v>
      </c>
      <c r="D291" s="7" t="n">
        <v>30</v>
      </c>
    </row>
    <row r="292">
      <c r="A292" s="7" t="inlineStr">
        <is>
          <t>/tv-media/photos/co-ed?edgmid=2318&amp;edgpid=149</t>
        </is>
      </c>
      <c r="B292" s="8" t="n">
        <v>2</v>
      </c>
      <c r="C292" s="7" t="n">
        <v>0</v>
      </c>
      <c r="D292" s="7" t="n">
        <v>9</v>
      </c>
    </row>
    <row r="293">
      <c r="A293" s="7" t="inlineStr">
        <is>
          <t>/st-louis-mo-matchmaker</t>
        </is>
      </c>
      <c r="B293" s="8" t="n">
        <v>1</v>
      </c>
      <c r="C293" s="7" t="n">
        <v>1</v>
      </c>
      <c r="D293" s="7" t="n">
        <v>1</v>
      </c>
    </row>
    <row r="294">
      <c r="A294" s="7" t="inlineStr">
        <is>
          <t>/tv-media/blogs/id/18619/best-matchmaking-services-in-the-us-2006-guide</t>
        </is>
      </c>
      <c r="B294" s="8" t="n">
        <v>1</v>
      </c>
      <c r="C294" s="7" t="n">
        <v>1</v>
      </c>
      <c r="D294" s="7" t="n">
        <v>2</v>
      </c>
    </row>
    <row r="295">
      <c r="A295" s="7" t="inlineStr">
        <is>
          <t>/?utm_source=chatgpt.com</t>
        </is>
      </c>
      <c r="B295" s="8" t="n">
        <v>1</v>
      </c>
      <c r="C295" s="7" t="n">
        <v>0</v>
      </c>
      <c r="D295" s="7" t="n">
        <v>1</v>
      </c>
    </row>
    <row r="296">
      <c r="A296" s="7" t="inlineStr">
        <is>
          <t>/Register?returnurl=%2FTV-Media%2FBlogs%2FarticleType%2FArticleView%2FarticleId%2F108</t>
        </is>
      </c>
      <c r="B296" s="8" t="n">
        <v>1</v>
      </c>
      <c r="C296" s="7" t="n">
        <v>0</v>
      </c>
      <c r="D296" s="7" t="n">
        <v>8</v>
      </c>
    </row>
    <row r="297">
      <c r="A297" s="7" t="inlineStr">
        <is>
          <t>/TV-Media/Blogs/articleType/ArticleView/articleId/10/Older-Wiser-Single-Dating-Need-to-know</t>
        </is>
      </c>
      <c r="B297" s="8" t="n">
        <v>1</v>
      </c>
      <c r="C297" s="7" t="n">
        <v>0</v>
      </c>
      <c r="D297" s="7" t="n">
        <v>9</v>
      </c>
    </row>
    <row r="298">
      <c r="A298" s="7" t="inlineStr">
        <is>
          <t>/TV-Media/Blogs/articleType/ArticleView/articleId/18607</t>
        </is>
      </c>
      <c r="B298" s="8" t="n">
        <v>1</v>
      </c>
      <c r="C298" s="7" t="n">
        <v>0</v>
      </c>
      <c r="D298" s="7" t="n">
        <v>4</v>
      </c>
    </row>
    <row r="299">
      <c r="A299" s="7" t="inlineStr">
        <is>
          <t>/TV-Media/Blogs/articleType/ArticleView/articleId/276/categoryId/1/Why-Netflix-Can-Actually-Be-Good-for-Your-Relationship</t>
        </is>
      </c>
      <c r="B299" s="8" t="n">
        <v>1</v>
      </c>
      <c r="C299" s="7" t="n">
        <v>0</v>
      </c>
      <c r="D299" s="7" t="n">
        <v>11</v>
      </c>
    </row>
    <row r="300">
      <c r="A300" s="7" t="inlineStr">
        <is>
          <t>/TV-Media/Blogs/articleType/ArticleView/articleId/71/On-and-Off-Relationships</t>
        </is>
      </c>
      <c r="B300" s="8" t="n">
        <v>1</v>
      </c>
      <c r="C300" s="7" t="n">
        <v>0</v>
      </c>
      <c r="D300" s="7" t="n">
        <v>8</v>
      </c>
    </row>
    <row r="301">
      <c r="A301" s="7" t="inlineStr">
        <is>
          <t>/ariznomatchmaker</t>
        </is>
      </c>
      <c r="B301" s="8" t="n">
        <v>1</v>
      </c>
      <c r="C301" s="7" t="n">
        <v>0</v>
      </c>
      <c r="D301" s="7" t="n">
        <v>1</v>
      </c>
    </row>
    <row r="302">
      <c r="A302" s="7" t="inlineStr">
        <is>
          <t>/georgia-maker</t>
        </is>
      </c>
      <c r="B302" s="8" t="n">
        <v>1</v>
      </c>
      <c r="C302" s="7" t="n">
        <v>0</v>
      </c>
      <c r="D302" s="7" t="n">
        <v>1</v>
      </c>
    </row>
    <row r="303">
      <c r="A303" s="7" t="inlineStr">
        <is>
          <t>/master-matchmaker</t>
        </is>
      </c>
      <c r="B303" s="8" t="n">
        <v>1</v>
      </c>
      <c r="C303" s="7" t="n">
        <v>0</v>
      </c>
      <c r="D303" s="7" t="n">
        <v>1</v>
      </c>
    </row>
    <row r="304">
      <c r="A304" s="7" t="inlineStr">
        <is>
          <t>/master-matchmakers-lgbtq-dating-service/</t>
        </is>
      </c>
      <c r="B304" s="8" t="n">
        <v>1</v>
      </c>
      <c r="C304" s="7" t="n">
        <v>0</v>
      </c>
      <c r="D304" s="7" t="n">
        <v>1</v>
      </c>
    </row>
    <row r="305">
      <c r="A305" s="7" t="inlineStr">
        <is>
          <t>/nationwide-master-matchmaker</t>
        </is>
      </c>
      <c r="B305" s="8" t="n">
        <v>1</v>
      </c>
      <c r="C305" s="7" t="n">
        <v>0</v>
      </c>
      <c r="D305" s="7" t="n">
        <v>1</v>
      </c>
    </row>
    <row r="306">
      <c r="A306" s="7" t="inlineStr">
        <is>
          <t>/ohio-matchmaker/</t>
        </is>
      </c>
      <c r="B306" s="8" t="n">
        <v>1</v>
      </c>
      <c r="C306" s="7" t="n">
        <v>0</v>
      </c>
      <c r="D306" s="7" t="n">
        <v>1</v>
      </c>
    </row>
    <row r="307">
      <c r="A307" s="7" t="inlineStr">
        <is>
          <t>/pricing#mm-pri-registry-detail</t>
        </is>
      </c>
      <c r="B307" s="8" t="n">
        <v>1</v>
      </c>
      <c r="C307" s="7" t="n">
        <v>0</v>
      </c>
      <c r="D307" s="7" t="n">
        <v>6</v>
      </c>
    </row>
    <row r="308">
      <c r="A308" s="7" t="inlineStr">
        <is>
          <t>/south-dakota-matchmaker/</t>
        </is>
      </c>
      <c r="B308" s="8" t="n">
        <v>1</v>
      </c>
      <c r="C308" s="7" t="n">
        <v>0</v>
      </c>
      <c r="D308" s="7" t="n">
        <v>1</v>
      </c>
    </row>
    <row r="309">
      <c r="A309" s="7" t="inlineStr">
        <is>
          <t>/tennessee-matchmaker/</t>
        </is>
      </c>
      <c r="B309" s="8" t="n">
        <v>1</v>
      </c>
      <c r="C309" s="7" t="n">
        <v>0</v>
      </c>
      <c r="D309" s="7" t="n">
        <v>1</v>
      </c>
    </row>
    <row r="310">
      <c r="A310" s="7" t="inlineStr">
        <is>
          <t>/tv-media/blogs/id/101/5-steps-to-finding-forming-and-maintaining-lasting-relationships</t>
        </is>
      </c>
      <c r="B310" s="8" t="n">
        <v>1</v>
      </c>
      <c r="C310" s="7" t="n">
        <v>0</v>
      </c>
      <c r="D310" s="7" t="n">
        <v>70</v>
      </c>
    </row>
    <row r="311">
      <c r="A311" s="7" t="inlineStr">
        <is>
          <t>/tv-media/blogs/id/106/5-places-to-look-for-love-this-holiday-season</t>
        </is>
      </c>
      <c r="B311" s="8" t="n">
        <v>1</v>
      </c>
      <c r="C311" s="7" t="n">
        <v>0</v>
      </c>
      <c r="D311" s="7" t="n">
        <v>39</v>
      </c>
    </row>
    <row r="312">
      <c r="A312" s="7" t="inlineStr">
        <is>
          <t>/tv-media/blogs/id/110/3-ways-to-find-love-in-a-storm</t>
        </is>
      </c>
      <c r="B312" s="8" t="n">
        <v>1</v>
      </c>
      <c r="C312" s="7" t="n">
        <v>0</v>
      </c>
      <c r="D312" s="7" t="n">
        <v>5</v>
      </c>
    </row>
    <row r="313">
      <c r="A313" s="7" t="inlineStr">
        <is>
          <t>/tv-media/blogs/id/18560/how-ai-enhanced-romance-scams-could-haunt-the-dating-scene</t>
        </is>
      </c>
      <c r="B313" s="8" t="n">
        <v>1</v>
      </c>
      <c r="C313" s="7" t="n">
        <v>0</v>
      </c>
      <c r="D313" s="7" t="n">
        <v>49</v>
      </c>
    </row>
    <row r="314">
      <c r="A314" s="7" t="inlineStr">
        <is>
          <t>/tv-media/blogs/id/18584/categoryid/1/case-study-drew-and-karen--a-master-matchmakers-success-story</t>
        </is>
      </c>
      <c r="B314" s="8" t="n">
        <v>1</v>
      </c>
      <c r="C314" s="7" t="n">
        <v>0</v>
      </c>
      <c r="D314" s="7" t="n">
        <v>2</v>
      </c>
    </row>
    <row r="315">
      <c r="A315" s="7" t="inlineStr">
        <is>
          <t>/tv-media/blogs/id/18598/how-much-do-matchmakers-cost-2026</t>
        </is>
      </c>
      <c r="B315" s="8" t="n">
        <v>1</v>
      </c>
      <c r="C315" s="7" t="n">
        <v>0</v>
      </c>
      <c r="D315" s="7" t="n">
        <v>3</v>
      </c>
    </row>
    <row r="316">
      <c r="A316" s="7" t="inlineStr">
        <is>
          <t>/tv-media/blogs/id/18598/how-much-does-a-matchmaker-cost-2026/</t>
        </is>
      </c>
      <c r="B316" s="8" t="n">
        <v>1</v>
      </c>
      <c r="C316" s="7" t="n">
        <v>0</v>
      </c>
      <c r="D316" s="7" t="n">
        <v>5</v>
      </c>
    </row>
    <row r="317">
      <c r="A317" s="7" t="inlineStr">
        <is>
          <t>/tv-media/blogs/id/18614/access-hollywood</t>
        </is>
      </c>
      <c r="B317" s="8" t="n">
        <v>1</v>
      </c>
      <c r="C317" s="7" t="n">
        <v>0</v>
      </c>
      <c r="D317" s="7" t="n">
        <v>3</v>
      </c>
    </row>
    <row r="318">
      <c r="A318" s="7" t="inlineStr">
        <is>
          <t>/tv-media/blogs/id/18618/how-to-find-the-best-matchmaker-near-you-2026-guide/</t>
        </is>
      </c>
      <c r="B318" s="8" t="n">
        <v>1</v>
      </c>
      <c r="C318" s="7" t="n">
        <v>0</v>
      </c>
      <c r="D318" s="7" t="n">
        <v>5</v>
      </c>
    </row>
    <row r="319">
      <c r="A319" s="7" t="inlineStr">
        <is>
          <t>/tv-media/blogs/id/18619/best-matchmaking-2026-guide</t>
        </is>
      </c>
      <c r="B319" s="8" t="n">
        <v>1</v>
      </c>
      <c r="C319" s="7" t="n">
        <v>0</v>
      </c>
      <c r="D319" s="7" t="n">
        <v>1</v>
      </c>
    </row>
    <row r="320">
      <c r="A320" s="7" t="inlineStr">
        <is>
          <t>/tv-media/blogs/id/18619/best-matchmaking-services-for-the-us-2026-guide</t>
        </is>
      </c>
      <c r="B320" s="8" t="n">
        <v>1</v>
      </c>
      <c r="C320" s="7" t="n">
        <v>0</v>
      </c>
      <c r="D320" s="7" t="n">
        <v>1</v>
      </c>
    </row>
    <row r="321">
      <c r="A321" s="7" t="inlineStr">
        <is>
          <t>/tv-media/blogs/id/18630/the-best-alternatives-opps</t>
        </is>
      </c>
      <c r="B321" s="8" t="n">
        <v>1</v>
      </c>
      <c r="C321" s="7" t="n">
        <v>0</v>
      </c>
      <c r="D321" s="7" t="n">
        <v>1</v>
      </c>
    </row>
    <row r="322">
      <c r="A322" s="7" t="inlineStr">
        <is>
          <t>/tv-media/blogs/id/18630/the-best-dating-apps-2026</t>
        </is>
      </c>
      <c r="B322" s="8" t="n">
        <v>1</v>
      </c>
      <c r="C322" s="7" t="n">
        <v>0</v>
      </c>
      <c r="D322" s="7" t="n">
        <v>1</v>
      </c>
    </row>
    <row r="323">
      <c r="A323" s="7" t="inlineStr">
        <is>
          <t>/tv-media/blogs/id/18642/best-matchmakers-in-atlanta-2026/</t>
        </is>
      </c>
      <c r="B323" s="8" t="n">
        <v>1</v>
      </c>
      <c r="C323" s="7" t="n">
        <v>0</v>
      </c>
      <c r="D323" s="7" t="n">
        <v>1</v>
      </c>
    </row>
    <row r="324">
      <c r="A324" s="7" t="inlineStr">
        <is>
          <t>/tv-media/blogs/id/18642/best-matchmakers-in-atlanta/</t>
        </is>
      </c>
      <c r="B324" s="8" t="n">
        <v>1</v>
      </c>
      <c r="C324" s="7" t="n">
        <v>0</v>
      </c>
      <c r="D324" s="7" t="n">
        <v>1</v>
      </c>
    </row>
    <row r="325">
      <c r="A325" s="7" t="inlineStr">
        <is>
          <t>/tv-media/blogs/id/18644/three-day-rule/</t>
        </is>
      </c>
      <c r="B325" s="8" t="n">
        <v>1</v>
      </c>
      <c r="C325" s="7" t="n">
        <v>0</v>
      </c>
      <c r="D325" s="7" t="n">
        <v>1</v>
      </c>
    </row>
    <row r="326">
      <c r="A326" s="7" t="inlineStr">
        <is>
          <t>/tv-media/blogs/id/18674/tawkify-vs-its-just-lunch</t>
        </is>
      </c>
      <c r="B326" s="8" t="n">
        <v>1</v>
      </c>
      <c r="C326" s="7" t="n">
        <v>0</v>
      </c>
      <c r="D326" s="7" t="n">
        <v>1</v>
      </c>
    </row>
    <row r="327">
      <c r="A327" s="7" t="inlineStr">
        <is>
          <t>/tv-media/blogs/id/18677/best-matchmakers-charlotte-2026</t>
        </is>
      </c>
      <c r="B327" s="8" t="n">
        <v>1</v>
      </c>
      <c r="C327" s="7" t="n">
        <v>0</v>
      </c>
      <c r="D327" s="7" t="n">
        <v>1</v>
      </c>
    </row>
    <row r="328">
      <c r="A328" s="7" t="inlineStr">
        <is>
          <t>/tv-media/blogs/id/254/categoryid/1/9-signs-your-phone-is-ruining-your-relationship</t>
        </is>
      </c>
      <c r="B328" s="8" t="n">
        <v>1</v>
      </c>
      <c r="C328" s="7" t="n">
        <v>0</v>
      </c>
      <c r="D328" s="7" t="n">
        <v>27</v>
      </c>
    </row>
    <row r="329">
      <c r="A329" s="7" t="inlineStr">
        <is>
          <t>/tv-media/blogs/id/257/23-things-you-shouldnt-do-in-your-online-dating-profile</t>
        </is>
      </c>
      <c r="B329" s="8" t="n">
        <v>1</v>
      </c>
      <c r="C329" s="7" t="n">
        <v>0</v>
      </c>
      <c r="D329" s="7" t="n">
        <v>30</v>
      </c>
    </row>
    <row r="330">
      <c r="A330" s="7" t="inlineStr">
        <is>
          <t>/tv-media/blogs/id/262/honesty-is-the-best-policy</t>
        </is>
      </c>
      <c r="B330" s="8" t="n">
        <v>1</v>
      </c>
      <c r="C330" s="7" t="n">
        <v>0</v>
      </c>
      <c r="D330" s="7" t="n">
        <v>10</v>
      </c>
    </row>
    <row r="331">
      <c r="A331" s="7" t="inlineStr">
        <is>
          <t>/tv-media/blogs/id/4142/fox-good-day-philadelphia</t>
        </is>
      </c>
      <c r="B331" s="8" t="n">
        <v>1</v>
      </c>
      <c r="C331" s="7" t="n">
        <v>0</v>
      </c>
      <c r="D331" s="7" t="n">
        <v>5</v>
      </c>
    </row>
    <row r="332">
      <c r="A332" s="7" t="inlineStr">
        <is>
          <t>/tv-media/blogs/id/4509/the-playoffs-of-matchmaking</t>
        </is>
      </c>
      <c r="B332" s="8" t="n">
        <v>1</v>
      </c>
      <c r="C332" s="7" t="n">
        <v>0</v>
      </c>
      <c r="D332" s="7" t="n">
        <v>8</v>
      </c>
    </row>
    <row r="333">
      <c r="A333" s="7" t="inlineStr">
        <is>
          <t>/tv-media/blogs/id/47/abc-good-afternoon-america</t>
        </is>
      </c>
      <c r="B333" s="8" t="n">
        <v>1</v>
      </c>
      <c r="C333" s="7" t="n">
        <v>0</v>
      </c>
      <c r="D333" s="7" t="n">
        <v>14</v>
      </c>
    </row>
    <row r="334">
      <c r="A334" s="7" t="inlineStr">
        <is>
          <t>/utah-matchmaker/</t>
        </is>
      </c>
      <c r="B334" s="8" t="n">
        <v>1</v>
      </c>
      <c r="C334" s="7" t="n">
        <v>0</v>
      </c>
      <c r="D334" s="7" t="n">
        <v>1</v>
      </c>
    </row>
  </sheetData>
  <autoFilter ref="A1:D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2026-10-22T17:32:30Z</dcterms:created>
  <dcterms:modified xmlns:dcterms="http://purl.org/dc/terms/" xmlns:xsi="http://www.w3.org/2001/XMLSchema-instance" xsi:type="dcterms:W3CDTF">2026-10-22T17:32:31Z</dcterms:modified>
</cp:coreProperties>
</file>