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C grid" sheetId="3" state="visible" r:id="rId3"/>
    <sheet xmlns:r="http://schemas.openxmlformats.org/officeDocument/2006/relationships" name="90-day model" sheetId="4" state="visible" r:id="rId4"/>
    <sheet xmlns:r="http://schemas.openxmlformats.org/officeDocument/2006/relationships" name="Shopify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$#,##0;($#,##0);-"/>
    <numFmt numFmtId="166" formatCode="0.0"/>
    <numFmt numFmtId="167" formatCode="$#,##0.00;($#,##0.00);-"/>
    <numFmt numFmtId="168" formatCode="0.0%;(0.0%);-"/>
    <numFmt numFmtId="169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i val="1"/>
      <color rgb="00666666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center" wrapText="1"/>
    </xf>
    <xf numFmtId="0" fontId="2" fillId="0" borderId="0" pivotButton="0" quotePrefix="0" xfId="0"/>
    <xf numFmtId="165" fontId="5" fillId="3" borderId="0" pivotButton="0" quotePrefix="0" xfId="0"/>
    <xf numFmtId="0" fontId="6" fillId="0" borderId="0" pivotButton="0" quotePrefix="0" xfId="0"/>
    <xf numFmtId="164" fontId="5" fillId="0" borderId="0" pivotButton="0" quotePrefix="0" xfId="0"/>
    <xf numFmtId="168" fontId="5" fillId="3" borderId="0" pivotButton="0" quotePrefix="0" xfId="0"/>
    <xf numFmtId="167" fontId="5" fillId="3" borderId="0" pivotButton="0" quotePrefix="0" xfId="0"/>
    <xf numFmtId="165" fontId="5" fillId="0" borderId="0" pivotButton="0" quotePrefix="0" xfId="0"/>
    <xf numFmtId="164" fontId="5" fillId="3" borderId="0" pivotButton="0" quotePrefix="0" xfId="0"/>
    <xf numFmtId="0" fontId="3" fillId="0" borderId="0" pivotButton="0" quotePrefix="0" xfId="0"/>
    <xf numFmtId="167" fontId="7" fillId="0" borderId="0" pivotButton="0" quotePrefix="0" xfId="0"/>
    <xf numFmtId="167" fontId="2" fillId="0" borderId="0" pivotButton="0" quotePrefix="0" xfId="0"/>
    <xf numFmtId="169" fontId="2" fillId="0" borderId="0" pivotButton="0" quotePrefix="0" xfId="0"/>
    <xf numFmtId="165" fontId="2" fillId="0" borderId="0" pivotButton="0" quotePrefix="0" xfId="0"/>
    <xf numFmtId="166" fontId="7" fillId="0" borderId="0" pivotButton="0" quotePrefix="0" xfId="0"/>
    <xf numFmtId="10" fontId="5" fillId="3" borderId="0" pivotButton="0" quotePrefix="0" xfId="0"/>
    <xf numFmtId="165" fontId="7" fillId="0" borderId="0" pivotButton="0" quotePrefix="0" xfId="0"/>
    <xf numFmtId="164" fontId="2" fillId="0" borderId="0" pivotButton="0" quotePrefix="0" xfId="0"/>
    <xf numFmtId="164" fontId="7" fillId="0" borderId="0" pivotButton="0" quotePrefix="0" xfId="0"/>
    <xf numFmtId="165" fontId="3" fillId="0" borderId="0" pivotButton="0" quotePrefix="0" xfId="0"/>
    <xf numFmtId="49" fontId="2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8" fontId="2" fillId="0" borderId="0" pivotButton="0" quotePrefix="0" xfId="0"/>
    <xf numFmtId="49" fontId="5" fillId="0" borderId="0" pivotButton="0" quotePrefix="0" xfId="0"/>
    <xf numFmtId="10" fontId="2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EmberTribe</author>
  </authors>
  <commentList>
    <comment ref="B15" authorId="0" shapeId="0">
      <text>
        <t>Out-of-state year-one value x 0.7. The 30% haircut is a judgment call, not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Revocup Coffee Roasters · New customer acquisition model</t>
        </is>
      </c>
    </row>
    <row r="2">
      <c r="A2" s="2" t="inlineStr">
        <is>
          <t>Prepared by EmberTribe, updated October 15, 2026. Internal working model for the 90-day paid social test.</t>
        </is>
      </c>
    </row>
    <row r="3">
      <c r="A3" s="2" t="inlineStr"/>
    </row>
    <row r="4">
      <c r="A4" s="3" t="inlineStr">
        <is>
          <t>How to use it</t>
        </is>
      </c>
    </row>
    <row r="5">
      <c r="A5" s="2" t="inlineStr">
        <is>
          <t>1. Change the yellow cells on the Inputs tab (ad spend, cost per click, conversion rate, margin, fees, customer value case).</t>
        </is>
      </c>
    </row>
    <row r="6">
      <c r="A6" s="2" t="inlineStr">
        <is>
          <t>2. CAC grid shows what a new customer costs at each cost per click and conversion rate, colored against break-even.</t>
        </is>
      </c>
    </row>
    <row r="7">
      <c r="A7" s="2" t="inlineStr">
        <is>
          <t>3. 90-day model shows customers acquired, payback timing, and year-one profit at three customer costs, plus the one implied by your Inputs.</t>
        </is>
      </c>
    </row>
    <row r="8">
      <c r="A8" s="2" t="inlineStr">
        <is>
          <t>4. Shopify data holds the numbers behind the customer value curve. Edit only if you re-pull the export.</t>
        </is>
      </c>
    </row>
    <row r="9">
      <c r="A9" s="2" t="inlineStr"/>
    </row>
    <row r="10">
      <c r="A10" s="3" t="inlineStr">
        <is>
          <t>Color legend</t>
        </is>
      </c>
    </row>
    <row r="11">
      <c r="A11" s="2" t="inlineStr">
        <is>
          <t>Blue text = typed-in inputs or data. Black text = formulas. Green text = pulled from another tab. Yellow fill = the levers to change.</t>
        </is>
      </c>
    </row>
    <row r="12">
      <c r="A12" s="2" t="inlineStr"/>
    </row>
    <row r="13">
      <c r="A13" s="3" t="inlineStr">
        <is>
          <t>Sources and caveats</t>
        </is>
      </c>
    </row>
    <row r="14">
      <c r="A14" s="2" t="inlineStr">
        <is>
          <t>Shopify order and customer exports pulled October 13, 2026 (orders Oct 24, 2024 to Oct 13, 2026). Two of Habte's own test accounts excluded.</t>
        </is>
      </c>
    </row>
    <row r="15">
      <c r="A15" s="2" t="inlineStr">
        <is>
          <t>Customer value uses product revenue (order subtotal), not shipping or tax. Shipping is charged to customers (about $8.76 an order) and assumed to cover shipping cost.</t>
        </is>
      </c>
    </row>
    <row r="16">
      <c r="A16" s="2" t="inlineStr">
        <is>
          <t>Gross margin (60%) is Habte's estimate for roasted beans from the Oct 15 call; cost of goods is not entered in Shopify.</t>
        </is>
      </c>
    </row>
    <row r="17">
      <c r="A17" s="2" t="inlineStr">
        <is>
          <t>Cost per click is illustrative. Today the store converts 0.82% of human sessions (Shopify Analytics, Oct 2025 to Sep 2026); only about 0.3% of visits bring in a NEW customer. The 1% default is a post-fix target, not a measurement.</t>
        </is>
      </c>
    </row>
    <row r="18">
      <c r="A18" s="2" t="inlineStr">
        <is>
          <t>Cost of goods is not entered in Shopify, so margin cannot be read from the store yet.</t>
        </is>
      </c>
    </row>
    <row r="19">
      <c r="A19" s="2" t="inlineStr">
        <is>
          <t>Sample is small (134 customers; 61 with a full year of history). Paid-social buyers may reorder less than today's mostly word-of-mouth buyers, so the Base case uses out-of-state customers and Conservative cuts that by 30%.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4" t="inlineStr">
        <is>
          <t>Inputs · change the yellow cells</t>
        </is>
      </c>
    </row>
    <row r="3">
      <c r="A3" s="5" t="inlineStr">
        <is>
          <t>Lever</t>
        </is>
      </c>
      <c r="B3" s="6" t="inlineStr">
        <is>
          <t>Value</t>
        </is>
      </c>
      <c r="C3" s="6" t="inlineStr">
        <is>
          <t>Where it comes from</t>
        </is>
      </c>
    </row>
    <row r="4">
      <c r="A4" s="7" t="inlineStr">
        <is>
          <t>Monthly ad spend</t>
        </is>
      </c>
      <c r="B4" s="8" t="n">
        <v>5000</v>
      </c>
      <c r="C4" s="9" t="inlineStr">
        <is>
          <t>Habte, Oct 12 call; Oct 15: flexible, from $3,000</t>
        </is>
      </c>
    </row>
    <row r="5">
      <c r="A5" s="7" t="inlineStr">
        <is>
          <t>Test length (months)</t>
        </is>
      </c>
      <c r="B5" s="10" t="n">
        <v>3</v>
      </c>
      <c r="C5" s="9" t="inlineStr">
        <is>
          <t>90-day sprint</t>
        </is>
      </c>
    </row>
    <row r="6">
      <c r="A6" s="7" t="inlineStr">
        <is>
          <t>Gross margin on product</t>
        </is>
      </c>
      <c r="B6" s="11" t="n">
        <v>0.6</v>
      </c>
      <c r="C6" s="9" t="inlineStr">
        <is>
          <t>Habte, Oct 15 call: about 60% on roasted beans, possibly lower</t>
        </is>
      </c>
    </row>
    <row r="7">
      <c r="A7" s="7" t="inlineStr">
        <is>
          <t>Cost per click (Meta)</t>
        </is>
      </c>
      <c r="B7" s="12" t="n">
        <v>1</v>
      </c>
      <c r="C7" s="9" t="inlineStr">
        <is>
          <t>Illustrative. Read the real number after week 2</t>
        </is>
      </c>
    </row>
    <row r="8">
      <c r="A8" s="7" t="inlineStr">
        <is>
          <t>Site conversion rate, first-time paid visitors</t>
        </is>
      </c>
      <c r="B8" s="11" t="n">
        <v>0.01</v>
      </c>
      <c r="C8" s="9" t="inlineStr">
        <is>
          <t>Target after store fixes. Today about 0.3% of visits bring in a new customer (0.82% counting repeat orders)</t>
        </is>
      </c>
    </row>
    <row r="9">
      <c r="A9" s="7" t="inlineStr">
        <is>
          <t>EmberTribe monthly fees</t>
        </is>
      </c>
      <c r="B9" s="13" t="n">
        <v>1750</v>
      </c>
      <c r="C9" s="9" t="inlineStr">
        <is>
          <t>Meta + Google management, discounted Oct 15 (standard $2,500 one channel). Add $2,000 for email/SMS campaigns</t>
        </is>
      </c>
    </row>
    <row r="10">
      <c r="A10" s="7" t="inlineStr">
        <is>
          <t>One-time site redesign</t>
        </is>
      </c>
      <c r="B10" s="13" t="n">
        <v>5000</v>
      </c>
      <c r="C10" s="9" t="inlineStr">
        <is>
          <t>Elite Launch at $5,000 with a 90-day paid media commitment signed by Oct 31, 2026 ($9,999 alone)</t>
        </is>
      </c>
    </row>
    <row r="11">
      <c r="A11" s="7" t="inlineStr">
        <is>
          <t>Customer value case (1, 2 or 3)</t>
        </is>
      </c>
      <c r="B11" s="14" t="n">
        <v>2</v>
      </c>
      <c r="C11" s="9" t="inlineStr">
        <is>
          <t>1 = Conservative, 2 = Base, 3 = Strong (see below)</t>
        </is>
      </c>
    </row>
    <row r="13">
      <c r="A13" s="15" t="inlineStr">
        <is>
          <t>Customer value cases · product $ per new customer</t>
        </is>
      </c>
    </row>
    <row r="14">
      <c r="A14" s="5" t="inlineStr">
        <is>
          <t>Case</t>
        </is>
      </c>
      <c r="B14" s="6" t="inlineStr">
        <is>
          <t>Year one</t>
        </is>
      </c>
      <c r="C14" s="6" t="inlineStr">
        <is>
          <t>Basis</t>
        </is>
      </c>
    </row>
    <row r="15">
      <c r="A15" s="7" t="inlineStr">
        <is>
          <t>1 · Conservative</t>
        </is>
      </c>
      <c r="B15" s="16">
        <f>ROUND('Shopify data'!D32*0.7,2)</f>
        <v/>
      </c>
      <c r="C15" s="9" t="inlineStr">
        <is>
          <t>Out-of-state customers cut by 30%, for paid buyers who reorder less</t>
        </is>
      </c>
    </row>
    <row r="16">
      <c r="A16" s="7" t="inlineStr">
        <is>
          <t>2 · Base</t>
        </is>
      </c>
      <c r="B16" s="16">
        <f>'Shopify data'!D32</f>
        <v/>
      </c>
      <c r="C16" s="9" t="inlineStr">
        <is>
          <t>Out-of-state customers today (closest match to buyers found through ads)</t>
        </is>
      </c>
    </row>
    <row r="17">
      <c r="A17" s="7" t="inlineStr">
        <is>
          <t>3 · Strong</t>
        </is>
      </c>
      <c r="B17" s="16">
        <f>'Shopify data'!B32</f>
        <v/>
      </c>
      <c r="C17" s="9" t="inlineStr">
        <is>
          <t>All customers today, including local regulars</t>
        </is>
      </c>
    </row>
    <row r="19">
      <c r="A19" s="15" t="inlineStr">
        <is>
          <t>Derived</t>
        </is>
      </c>
    </row>
    <row r="20">
      <c r="A20" s="7" t="inlineStr">
        <is>
          <t>Selected year-one product $ per customer</t>
        </is>
      </c>
      <c r="B20" s="17">
        <f>INDEX(B15:B17,B11)</f>
        <v/>
      </c>
    </row>
    <row r="21">
      <c r="A21" s="7" t="inlineStr">
        <is>
          <t>Year-one gross profit per customer (= break-even cost per customer)</t>
        </is>
      </c>
      <c r="B21" s="17">
        <f>B20*B6</f>
        <v/>
      </c>
    </row>
    <row r="22">
      <c r="A22" s="7" t="inlineStr">
        <is>
          <t>First-order product $ per customer</t>
        </is>
      </c>
      <c r="B22" s="16">
        <f>'Shopify data'!D26</f>
        <v/>
      </c>
    </row>
    <row r="23">
      <c r="A23" s="7" t="inlineStr">
        <is>
          <t>First-order gross profit (= first-order break-even)</t>
        </is>
      </c>
      <c r="B23" s="17">
        <f>B22*B6</f>
        <v/>
      </c>
    </row>
    <row r="24">
      <c r="A24" s="7" t="inlineStr">
        <is>
          <t>Break-even return on ad spend, first order</t>
        </is>
      </c>
      <c r="B24" s="18">
        <f>IF(B6=0,0,1/B6)</f>
        <v/>
      </c>
    </row>
    <row r="25">
      <c r="A25" s="7" t="inlineStr">
        <is>
          <t>Cost per new customer from your click cost and conversion</t>
        </is>
      </c>
      <c r="B25" s="17">
        <f>IF(B8=0,0,B7/B8)</f>
        <v/>
      </c>
    </row>
    <row r="26">
      <c r="A26" s="7" t="inlineStr">
        <is>
          <t>Total ad spend over the test</t>
        </is>
      </c>
      <c r="B26" s="19">
        <f>B4*B5</f>
        <v/>
      </c>
    </row>
    <row r="27">
      <c r="A27" s="7" t="inlineStr">
        <is>
          <t>Total EmberTribe fees over the test</t>
        </is>
      </c>
      <c r="B27" s="19">
        <f>B9*B5+B10</f>
        <v/>
      </c>
    </row>
    <row r="28">
      <c r="A28" s="7" t="inlineStr">
        <is>
          <t>New customers per month today</t>
        </is>
      </c>
      <c r="B28" s="20">
        <f>'Shopify data'!B10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What a new customer costs · cost per click ÷ conversion rate</t>
        </is>
      </c>
    </row>
    <row r="2">
      <c r="A2" s="9" t="inlineStr">
        <is>
          <t>Green = pays back on the first order. Yellow = pays back within year one (selected case). Red = does not pay back in year one.</t>
        </is>
      </c>
    </row>
    <row r="4">
      <c r="A4" s="15" t="inlineStr">
        <is>
          <t>Cost per click ↓ / conversion →</t>
        </is>
      </c>
      <c r="B4" s="21" t="n">
        <v>0.003</v>
      </c>
      <c r="C4" s="21" t="n">
        <v>0.005</v>
      </c>
      <c r="D4" s="21" t="n">
        <v>0.01</v>
      </c>
      <c r="E4" s="21" t="n">
        <v>0.015</v>
      </c>
      <c r="F4" s="21" t="n">
        <v>0.02</v>
      </c>
      <c r="G4" s="21" t="n">
        <v>0.025</v>
      </c>
    </row>
    <row r="5">
      <c r="A5" s="12" t="n">
        <v>0.5</v>
      </c>
      <c r="B5" s="19">
        <f>IF(B$4=0,0,$A5/B$4)</f>
        <v/>
      </c>
      <c r="C5" s="19">
        <f>IF(C$4=0,0,$A5/C$4)</f>
        <v/>
      </c>
      <c r="D5" s="19">
        <f>IF(D$4=0,0,$A5/D$4)</f>
        <v/>
      </c>
      <c r="E5" s="19">
        <f>IF(E$4=0,0,$A5/E$4)</f>
        <v/>
      </c>
      <c r="F5" s="19">
        <f>IF(F$4=0,0,$A5/F$4)</f>
        <v/>
      </c>
      <c r="G5" s="19">
        <f>IF(G$4=0,0,$A5/G$4)</f>
        <v/>
      </c>
    </row>
    <row r="6">
      <c r="A6" s="12" t="n">
        <v>0.75</v>
      </c>
      <c r="B6" s="19">
        <f>IF(B$4=0,0,$A6/B$4)</f>
        <v/>
      </c>
      <c r="C6" s="19">
        <f>IF(C$4=0,0,$A6/C$4)</f>
        <v/>
      </c>
      <c r="D6" s="19">
        <f>IF(D$4=0,0,$A6/D$4)</f>
        <v/>
      </c>
      <c r="E6" s="19">
        <f>IF(E$4=0,0,$A6/E$4)</f>
        <v/>
      </c>
      <c r="F6" s="19">
        <f>IF(F$4=0,0,$A6/F$4)</f>
        <v/>
      </c>
      <c r="G6" s="19">
        <f>IF(G$4=0,0,$A6/G$4)</f>
        <v/>
      </c>
    </row>
    <row r="7">
      <c r="A7" s="12" t="n">
        <v>1</v>
      </c>
      <c r="B7" s="19">
        <f>IF(B$4=0,0,$A7/B$4)</f>
        <v/>
      </c>
      <c r="C7" s="19">
        <f>IF(C$4=0,0,$A7/C$4)</f>
        <v/>
      </c>
      <c r="D7" s="19">
        <f>IF(D$4=0,0,$A7/D$4)</f>
        <v/>
      </c>
      <c r="E7" s="19">
        <f>IF(E$4=0,0,$A7/E$4)</f>
        <v/>
      </c>
      <c r="F7" s="19">
        <f>IF(F$4=0,0,$A7/F$4)</f>
        <v/>
      </c>
      <c r="G7" s="19">
        <f>IF(G$4=0,0,$A7/G$4)</f>
        <v/>
      </c>
    </row>
    <row r="8">
      <c r="A8" s="12" t="n">
        <v>1.25</v>
      </c>
      <c r="B8" s="19">
        <f>IF(B$4=0,0,$A8/B$4)</f>
        <v/>
      </c>
      <c r="C8" s="19">
        <f>IF(C$4=0,0,$A8/C$4)</f>
        <v/>
      </c>
      <c r="D8" s="19">
        <f>IF(D$4=0,0,$A8/D$4)</f>
        <v/>
      </c>
      <c r="E8" s="19">
        <f>IF(E$4=0,0,$A8/E$4)</f>
        <v/>
      </c>
      <c r="F8" s="19">
        <f>IF(F$4=0,0,$A8/F$4)</f>
        <v/>
      </c>
      <c r="G8" s="19">
        <f>IF(G$4=0,0,$A8/G$4)</f>
        <v/>
      </c>
    </row>
    <row r="9">
      <c r="A9" s="12" t="n">
        <v>1.5</v>
      </c>
      <c r="B9" s="19">
        <f>IF(B$4=0,0,$A9/B$4)</f>
        <v/>
      </c>
      <c r="C9" s="19">
        <f>IF(C$4=0,0,$A9/C$4)</f>
        <v/>
      </c>
      <c r="D9" s="19">
        <f>IF(D$4=0,0,$A9/D$4)</f>
        <v/>
      </c>
      <c r="E9" s="19">
        <f>IF(E$4=0,0,$A9/E$4)</f>
        <v/>
      </c>
      <c r="F9" s="19">
        <f>IF(F$4=0,0,$A9/F$4)</f>
        <v/>
      </c>
      <c r="G9" s="19">
        <f>IF(G$4=0,0,$A9/G$4)</f>
        <v/>
      </c>
    </row>
    <row r="10">
      <c r="A10" s="12" t="n">
        <v>2</v>
      </c>
      <c r="B10" s="19">
        <f>IF(B$4=0,0,$A10/B$4)</f>
        <v/>
      </c>
      <c r="C10" s="19">
        <f>IF(C$4=0,0,$A10/C$4)</f>
        <v/>
      </c>
      <c r="D10" s="19">
        <f>IF(D$4=0,0,$A10/D$4)</f>
        <v/>
      </c>
      <c r="E10" s="19">
        <f>IF(E$4=0,0,$A10/E$4)</f>
        <v/>
      </c>
      <c r="F10" s="19">
        <f>IF(F$4=0,0,$A10/F$4)</f>
        <v/>
      </c>
      <c r="G10" s="19">
        <f>IF(G$4=0,0,$A10/G$4)</f>
        <v/>
      </c>
    </row>
    <row r="12">
      <c r="A12" s="15" t="inlineStr">
        <is>
          <t>First-order break-even</t>
        </is>
      </c>
      <c r="B12" s="16">
        <f>Inputs!B23</f>
        <v/>
      </c>
    </row>
    <row r="13">
      <c r="A13" s="15" t="inlineStr">
        <is>
          <t>Year-one break-even</t>
        </is>
      </c>
      <c r="B13" s="16">
        <f>Inputs!B21</f>
        <v/>
      </c>
    </row>
    <row r="15">
      <c r="A15" s="9" t="inlineStr">
        <is>
          <t>0.3% is the rate at which a visit brings in a NEW customer today (73 new customers over 25,519 human sessions, last 12 months). All orders over sessions is 0.82%, but about two-thirds of orders are repeat buyers, and ad visitors are all first-time.</t>
        </is>
      </c>
    </row>
  </sheetData>
  <conditionalFormatting sqref="B5:G10">
    <cfRule type="cellIs" priority="1" operator="lessThanOrEqual" dxfId="0">
      <formula>Inputs!$B$23</formula>
    </cfRule>
    <cfRule type="cellIs" priority="2" operator="lessThanOrEqual" dxfId="1">
      <formula>Inputs!$B$21</formula>
    </cfRule>
    <cfRule type="cellIs" priority="3" operator="greaterThan" dxfId="2">
      <formula>Inputs!$B$21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0" customWidth="1" min="6" max="6"/>
    <col width="18" customWidth="1" min="7" max="7"/>
  </cols>
  <sheetData>
    <row r="1">
      <c r="A1" s="4" t="inlineStr">
        <is>
          <t>90-day test · what the ad spend buys</t>
        </is>
      </c>
    </row>
    <row r="2">
      <c r="A2" s="9" t="inlineStr">
        <is>
          <t>Uses the selected customer value case on Inputs. Customer value is product revenue only. Year-one profit counts each customer for a full year from their first order.</t>
        </is>
      </c>
    </row>
    <row r="4">
      <c r="A4" s="5" t="inlineStr"/>
      <c r="B4" s="6" t="inlineStr">
        <is>
          <t>Strong</t>
        </is>
      </c>
      <c r="C4" s="6" t="inlineStr">
        <is>
          <t>Middle</t>
        </is>
      </c>
      <c r="D4" s="6" t="inlineStr">
        <is>
          <t>Weak</t>
        </is>
      </c>
      <c r="E4" s="6" t="inlineStr">
        <is>
          <t>From your Inputs</t>
        </is>
      </c>
      <c r="F4" s="15" t="inlineStr">
        <is>
          <t>Days</t>
        </is>
      </c>
      <c r="G4" s="15" t="inlineStr">
        <is>
          <t>Cum. gross profit</t>
        </is>
      </c>
    </row>
    <row r="5">
      <c r="A5" s="7" t="inlineStr">
        <is>
          <t>Cost per new customer</t>
        </is>
      </c>
      <c r="B5" s="8" t="n">
        <v>50</v>
      </c>
      <c r="C5" s="8" t="n">
        <v>75</v>
      </c>
      <c r="D5" s="8" t="n">
        <v>100</v>
      </c>
      <c r="E5" s="22">
        <f>Inputs!B25</f>
        <v/>
      </c>
    </row>
    <row r="6">
      <c r="A6" s="7" t="inlineStr">
        <is>
          <t>New customers over the test</t>
        </is>
      </c>
      <c r="B6" s="23">
        <f>IF(B5=0,0,Inputs!$B$26/B5)</f>
        <v/>
      </c>
      <c r="C6" s="23">
        <f>IF(C5=0,0,Inputs!$B$26/C5)</f>
        <v/>
      </c>
      <c r="D6" s="23">
        <f>IF(D5=0,0,Inputs!$B$26/D5)</f>
        <v/>
      </c>
      <c r="E6" s="23">
        <f>IF(E5=0,0,Inputs!$B$26/E5)</f>
        <v/>
      </c>
      <c r="F6" s="24">
        <f>'Shopify data'!A26</f>
        <v/>
      </c>
      <c r="G6" s="16">
        <f>'Shopify data'!D26/'Shopify data'!$D$32*Inputs!$B$20*Inputs!$B$6</f>
        <v/>
      </c>
    </row>
    <row r="7">
      <c r="A7" s="7" t="inlineStr">
        <is>
          <t>vs. new customers at today's pace</t>
        </is>
      </c>
      <c r="B7" s="23">
        <f>Inputs!$B$28*Inputs!$B$5</f>
        <v/>
      </c>
      <c r="C7" s="23">
        <f>Inputs!$B$28*Inputs!$B$5</f>
        <v/>
      </c>
      <c r="D7" s="23">
        <f>Inputs!$B$28*Inputs!$B$5</f>
        <v/>
      </c>
      <c r="E7" s="23">
        <f>Inputs!$B$28*Inputs!$B$5</f>
        <v/>
      </c>
      <c r="F7" s="24">
        <f>'Shopify data'!A27</f>
        <v/>
      </c>
      <c r="G7" s="16">
        <f>'Shopify data'!D27/'Shopify data'!$D$32*Inputs!$B$20*Inputs!$B$6</f>
        <v/>
      </c>
    </row>
    <row r="8">
      <c r="A8" s="7" t="inlineStr">
        <is>
          <t>First-order product revenue</t>
        </is>
      </c>
      <c r="B8" s="19">
        <f>B6*Inputs!$B$22</f>
        <v/>
      </c>
      <c r="C8" s="19">
        <f>C6*Inputs!$B$22</f>
        <v/>
      </c>
      <c r="D8" s="19">
        <f>D6*Inputs!$B$22</f>
        <v/>
      </c>
      <c r="E8" s="19">
        <f>E6*Inputs!$B$22</f>
        <v/>
      </c>
      <c r="F8" s="24">
        <f>'Shopify data'!A28</f>
        <v/>
      </c>
      <c r="G8" s="16">
        <f>'Shopify data'!D28/'Shopify data'!$D$32*Inputs!$B$20*Inputs!$B$6</f>
        <v/>
      </c>
    </row>
    <row r="9">
      <c r="A9" s="7" t="inlineStr">
        <is>
          <t>Year-one product revenue</t>
        </is>
      </c>
      <c r="B9" s="19">
        <f>B6*Inputs!$B$20</f>
        <v/>
      </c>
      <c r="C9" s="19">
        <f>C6*Inputs!$B$20</f>
        <v/>
      </c>
      <c r="D9" s="19">
        <f>D6*Inputs!$B$20</f>
        <v/>
      </c>
      <c r="E9" s="19">
        <f>E6*Inputs!$B$20</f>
        <v/>
      </c>
      <c r="F9" s="24">
        <f>'Shopify data'!A29</f>
        <v/>
      </c>
      <c r="G9" s="16">
        <f>'Shopify data'!D29/'Shopify data'!$D$32*Inputs!$B$20*Inputs!$B$6</f>
        <v/>
      </c>
    </row>
    <row r="10">
      <c r="A10" s="7" t="inlineStr">
        <is>
          <t>Year-one gross profit</t>
        </is>
      </c>
      <c r="B10" s="19">
        <f>B9*Inputs!$B$6</f>
        <v/>
      </c>
      <c r="C10" s="19">
        <f>C9*Inputs!$B$6</f>
        <v/>
      </c>
      <c r="D10" s="19">
        <f>D9*Inputs!$B$6</f>
        <v/>
      </c>
      <c r="E10" s="19">
        <f>E9*Inputs!$B$6</f>
        <v/>
      </c>
      <c r="F10" s="24">
        <f>'Shopify data'!A30</f>
        <v/>
      </c>
      <c r="G10" s="16">
        <f>'Shopify data'!D30/'Shopify data'!$D$32*Inputs!$B$20*Inputs!$B$6</f>
        <v/>
      </c>
    </row>
    <row r="11">
      <c r="A11" s="7" t="inlineStr">
        <is>
          <t>Minus ad spend</t>
        </is>
      </c>
      <c r="B11" s="19">
        <f>-Inputs!$B$26</f>
        <v/>
      </c>
      <c r="C11" s="19">
        <f>-Inputs!$B$26</f>
        <v/>
      </c>
      <c r="D11" s="19">
        <f>-Inputs!$B$26</f>
        <v/>
      </c>
      <c r="E11" s="19">
        <f>-Inputs!$B$26</f>
        <v/>
      </c>
      <c r="F11" s="24">
        <f>'Shopify data'!A31</f>
        <v/>
      </c>
      <c r="G11" s="16">
        <f>'Shopify data'!D31/'Shopify data'!$D$32*Inputs!$B$20*Inputs!$B$6</f>
        <v/>
      </c>
    </row>
    <row r="12">
      <c r="A12" s="15" t="inlineStr">
        <is>
          <t>Year one after ad spend</t>
        </is>
      </c>
      <c r="B12" s="25">
        <f>B10+B11</f>
        <v/>
      </c>
      <c r="C12" s="25">
        <f>C10+C11</f>
        <v/>
      </c>
      <c r="D12" s="25">
        <f>D10+D11</f>
        <v/>
      </c>
      <c r="E12" s="25">
        <f>E10+E11</f>
        <v/>
      </c>
      <c r="F12" s="24">
        <f>'Shopify data'!A32</f>
        <v/>
      </c>
      <c r="G12" s="16">
        <f>'Shopify data'!D32/'Shopify data'!$D$32*Inputs!$B$20*Inputs!$B$6</f>
        <v/>
      </c>
    </row>
    <row r="13">
      <c r="A13" s="7" t="inlineStr">
        <is>
          <t>Minus EmberTribe fees</t>
        </is>
      </c>
      <c r="B13" s="19">
        <f>-Inputs!$B$27</f>
        <v/>
      </c>
      <c r="C13" s="19">
        <f>-Inputs!$B$27</f>
        <v/>
      </c>
      <c r="D13" s="19">
        <f>-Inputs!$B$27</f>
        <v/>
      </c>
      <c r="E13" s="19">
        <f>-Inputs!$B$27</f>
        <v/>
      </c>
    </row>
    <row r="14">
      <c r="A14" s="15" t="inlineStr">
        <is>
          <t>Year one after ad spend and fees</t>
        </is>
      </c>
      <c r="B14" s="25">
        <f>B12+B13</f>
        <v/>
      </c>
      <c r="C14" s="25">
        <f>C12+C13</f>
        <v/>
      </c>
      <c r="D14" s="25">
        <f>D12+D13</f>
        <v/>
      </c>
      <c r="E14" s="25">
        <f>E12+E13</f>
        <v/>
      </c>
      <c r="F14" s="9" t="inlineStr">
        <is>
          <t>Helper: out-of-state value curve, scaled to the selected case.</t>
        </is>
      </c>
    </row>
    <row r="15">
      <c r="A15" s="7" t="inlineStr">
        <is>
          <t>First-order return on ad spend</t>
        </is>
      </c>
      <c r="B15" s="18">
        <f>IF(Inputs!$B$26=0,0,B8/Inputs!$B$26)</f>
        <v/>
      </c>
      <c r="C15" s="18">
        <f>IF(Inputs!$B$26=0,0,C8/Inputs!$B$26)</f>
        <v/>
      </c>
      <c r="D15" s="18">
        <f>IF(Inputs!$B$26=0,0,D8/Inputs!$B$26)</f>
        <v/>
      </c>
      <c r="E15" s="18">
        <f>IF(Inputs!$B$26=0,0,E8/Inputs!$B$26)</f>
        <v/>
      </c>
    </row>
    <row r="16">
      <c r="A16" s="7" t="inlineStr">
        <is>
          <t>Days until a customer pays back their cost</t>
        </is>
      </c>
      <c r="B16" s="26">
        <f>IF(COUNTIF($G$6:$G$12,"&lt;"&amp;B5)&gt;=7,"Over 365",INDEX($F$6:$F$12,COUNTIF($G$6:$G$12,"&lt;"&amp;B5)+1))</f>
        <v/>
      </c>
      <c r="C16" s="26">
        <f>IF(COUNTIF($G$6:$G$12,"&lt;"&amp;C5)&gt;=7,"Over 365",INDEX($F$6:$F$12,COUNTIF($G$6:$G$12,"&lt;"&amp;C5)+1))</f>
        <v/>
      </c>
      <c r="D16" s="26">
        <f>IF(COUNTIF($G$6:$G$12,"&lt;"&amp;D5)&gt;=7,"Over 365",INDEX($F$6:$F$12,COUNTIF($G$6:$G$12,"&lt;"&amp;D5)+1))</f>
        <v/>
      </c>
      <c r="E16" s="26">
        <f>IF(COUNTIF($G$6:$G$12,"&lt;"&amp;E5)&gt;=7,"Over 365",INDEX($F$6:$F$12,COUNTIF($G$6:$G$12,"&lt;"&amp;E5)+1))</f>
        <v/>
      </c>
    </row>
    <row r="18">
      <c r="A18" s="9" t="inlineStr">
        <is>
          <t>Reading it: payback is when a customer's cumulative gross profit covers what they cost to win. Repeat orders arrive slowly (median 54 days to a second order), so a 90-day test shows only part of the payoff.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Shopify data · aggregated from the Oct 13, 2026 exports</t>
        </is>
      </c>
    </row>
    <row r="3">
      <c r="A3" s="5" t="inlineStr">
        <is>
          <t>Store summary</t>
        </is>
      </c>
      <c r="B3" s="6" t="inlineStr">
        <is>
          <t>Value</t>
        </is>
      </c>
    </row>
    <row r="4">
      <c r="A4" s="7" t="inlineStr">
        <is>
          <t>Date range</t>
        </is>
      </c>
      <c r="B4" s="27" t="inlineStr">
        <is>
          <t>Oct 24, 2024 – Oct 13, 2026</t>
        </is>
      </c>
    </row>
    <row r="5">
      <c r="A5" s="7" t="inlineStr">
        <is>
          <t>Customers (excl. 2 test accounts)</t>
        </is>
      </c>
      <c r="B5" s="10" t="n">
        <v>134</v>
      </c>
    </row>
    <row r="6">
      <c r="A6" s="7" t="inlineStr">
        <is>
          <t>Orders</t>
        </is>
      </c>
      <c r="B6" s="10" t="n">
        <v>383</v>
      </c>
    </row>
    <row r="7">
      <c r="A7" s="7" t="inlineStr">
        <is>
          <t>Revenue, all orders incl. shipping</t>
        </is>
      </c>
      <c r="B7" s="13" t="n">
        <v>24453</v>
      </c>
    </row>
    <row r="8">
      <c r="A8" s="7" t="inlineStr">
        <is>
          <t>Revenue, last 12 months</t>
        </is>
      </c>
      <c r="B8" s="13" t="n">
        <v>15786</v>
      </c>
    </row>
    <row r="9">
      <c r="A9" s="7" t="inlineStr">
        <is>
          <t>Orders per month, last 12 months</t>
        </is>
      </c>
      <c r="B9" s="28" t="n">
        <v>20.5</v>
      </c>
    </row>
    <row r="10">
      <c r="A10" s="7" t="inlineStr">
        <is>
          <t>New customers per month, last 12 months</t>
        </is>
      </c>
      <c r="B10" s="28" t="n">
        <v>6.1</v>
      </c>
    </row>
    <row r="11">
      <c r="A11" s="7" t="inlineStr">
        <is>
          <t>Most orders in any month</t>
        </is>
      </c>
      <c r="B11" s="10" t="n">
        <v>31</v>
      </c>
    </row>
    <row r="12">
      <c r="A12" s="7" t="inlineStr">
        <is>
          <t>Average first order, product only</t>
        </is>
      </c>
      <c r="B12" s="29" t="n">
        <v>56.14</v>
      </c>
    </row>
    <row r="13">
      <c r="A13" s="7" t="inlineStr">
        <is>
          <t>Average first order incl. shipping</t>
        </is>
      </c>
      <c r="B13" s="29" t="n">
        <v>64.73</v>
      </c>
    </row>
    <row r="14">
      <c r="A14" s="7" t="inlineStr">
        <is>
          <t>Average shipping charged per order</t>
        </is>
      </c>
      <c r="B14" s="29" t="n">
        <v>8.76</v>
      </c>
    </row>
    <row r="15">
      <c r="A15" s="7" t="inlineStr">
        <is>
          <t>Customers who ordered 2+ times</t>
        </is>
      </c>
      <c r="B15" s="30" t="n">
        <v>0.338</v>
      </c>
    </row>
    <row r="16">
      <c r="A16" s="7" t="inlineStr">
        <is>
          <t>Revenue from repeat customers</t>
        </is>
      </c>
      <c r="B16" s="30" t="n">
        <v>0.768</v>
      </c>
    </row>
    <row r="17">
      <c r="A17" s="7" t="inlineStr">
        <is>
          <t>Revenue from top 20 customers</t>
        </is>
      </c>
      <c r="B17" s="30" t="n">
        <v>0.637</v>
      </c>
    </row>
    <row r="18">
      <c r="A18" s="7" t="inlineStr">
        <is>
          <t>Customers in KS or MO</t>
        </is>
      </c>
      <c r="B18" s="30" t="n">
        <v>0.47</v>
      </c>
    </row>
    <row r="19">
      <c r="A19" s="7" t="inlineStr">
        <is>
          <t>Median days from 1st to 2nd order</t>
        </is>
      </c>
      <c r="B19" s="28" t="n">
        <v>54.5</v>
      </c>
    </row>
    <row r="20">
      <c r="A20" s="7" t="inlineStr">
        <is>
          <t>Median days between reorders</t>
        </is>
      </c>
      <c r="B20" s="10" t="n">
        <v>34</v>
      </c>
    </row>
    <row r="21">
      <c r="A21" s="7" t="inlineStr">
        <is>
          <t>First orders using code Addis25 (sign-up offer)</t>
        </is>
      </c>
      <c r="B21" s="10" t="n">
        <v>34</v>
      </c>
    </row>
    <row r="22">
      <c r="A22" s="7" t="inlineStr">
        <is>
          <t>Customers opted in to email</t>
        </is>
      </c>
      <c r="B22" s="10" t="n">
        <v>55</v>
      </c>
    </row>
    <row r="24">
      <c r="A24" s="15" t="inlineStr">
        <is>
          <t>Customer value curve · same customers followed over time (61 with a full year; 28 of them outside KS/MO)</t>
        </is>
      </c>
    </row>
    <row r="25">
      <c r="A25" s="5" t="inlineStr">
        <is>
          <t>Days since first order</t>
        </is>
      </c>
      <c r="B25" s="6" t="inlineStr">
        <is>
          <t>All: product $ per customer</t>
        </is>
      </c>
      <c r="C25" s="6" t="inlineStr">
        <is>
          <t>All: % reordered</t>
        </is>
      </c>
      <c r="D25" s="6" t="inlineStr">
        <is>
          <t>Out-of-state: product $</t>
        </is>
      </c>
      <c r="E25" s="6" t="inlineStr">
        <is>
          <t>Out-of-state: % reordered</t>
        </is>
      </c>
    </row>
    <row r="26">
      <c r="A26" s="10" t="n">
        <v>0</v>
      </c>
      <c r="B26" s="29" t="n">
        <v>56.77</v>
      </c>
      <c r="C26" s="30" t="n">
        <v>0</v>
      </c>
      <c r="D26" s="29" t="n">
        <v>58.3</v>
      </c>
      <c r="E26" s="30" t="n">
        <v>0</v>
      </c>
    </row>
    <row r="27">
      <c r="A27" s="10" t="n">
        <v>30</v>
      </c>
      <c r="B27" s="29" t="n">
        <v>60.33</v>
      </c>
      <c r="C27" s="30" t="n">
        <v>0.082</v>
      </c>
      <c r="D27" s="29" t="n">
        <v>62.2</v>
      </c>
      <c r="E27" s="30" t="n">
        <v>0.107</v>
      </c>
    </row>
    <row r="28">
      <c r="A28" s="10" t="n">
        <v>60</v>
      </c>
      <c r="B28" s="29" t="n">
        <v>74.61</v>
      </c>
      <c r="C28" s="30" t="n">
        <v>0.262</v>
      </c>
      <c r="D28" s="29" t="n">
        <v>70.31</v>
      </c>
      <c r="E28" s="30" t="n">
        <v>0.25</v>
      </c>
    </row>
    <row r="29">
      <c r="A29" s="10" t="n">
        <v>90</v>
      </c>
      <c r="B29" s="29" t="n">
        <v>87</v>
      </c>
      <c r="C29" s="30" t="n">
        <v>0.344</v>
      </c>
      <c r="D29" s="29" t="n">
        <v>79.59999999999999</v>
      </c>
      <c r="E29" s="30" t="n">
        <v>0.321</v>
      </c>
    </row>
    <row r="30">
      <c r="A30" s="10" t="n">
        <v>180</v>
      </c>
      <c r="B30" s="29" t="n">
        <v>129.35</v>
      </c>
      <c r="C30" s="30" t="n">
        <v>0.459</v>
      </c>
      <c r="D30" s="29" t="n">
        <v>118.92</v>
      </c>
      <c r="E30" s="30" t="n">
        <v>0.464</v>
      </c>
    </row>
    <row r="31">
      <c r="A31" s="10" t="n">
        <v>270</v>
      </c>
      <c r="B31" s="29" t="n">
        <v>161.69</v>
      </c>
      <c r="C31" s="30" t="n">
        <v>0.475</v>
      </c>
      <c r="D31" s="29" t="n">
        <v>139.03</v>
      </c>
      <c r="E31" s="30" t="n">
        <v>0.464</v>
      </c>
    </row>
    <row r="32">
      <c r="A32" s="10" t="n">
        <v>365</v>
      </c>
      <c r="B32" s="29" t="n">
        <v>192.79</v>
      </c>
      <c r="C32" s="30" t="n">
        <v>0.492</v>
      </c>
      <c r="D32" s="29" t="n">
        <v>158.31</v>
      </c>
      <c r="E32" s="30" t="n">
        <v>0.464</v>
      </c>
    </row>
    <row r="34">
      <c r="A34" s="15" t="inlineStr">
        <is>
          <t>Monthly orders · new vs returning customers</t>
        </is>
      </c>
    </row>
    <row r="35">
      <c r="A35" s="5" t="inlineStr">
        <is>
          <t>Month</t>
        </is>
      </c>
      <c r="B35" s="6" t="inlineStr">
        <is>
          <t>New customers</t>
        </is>
      </c>
      <c r="C35" s="6" t="inlineStr">
        <is>
          <t>Returning orders</t>
        </is>
      </c>
      <c r="D35" s="6" t="inlineStr">
        <is>
          <t>Returning share</t>
        </is>
      </c>
    </row>
    <row r="36">
      <c r="A36" s="27" t="inlineStr">
        <is>
          <t>2025-02</t>
        </is>
      </c>
      <c r="B36" s="27" t="n">
        <v>11</v>
      </c>
      <c r="C36" s="27" t="n">
        <v>3</v>
      </c>
      <c r="D36" s="31">
        <f>IF(B36+C36=0,0,C36/(B36+C36))</f>
        <v/>
      </c>
    </row>
    <row r="37">
      <c r="A37" s="27" t="inlineStr">
        <is>
          <t>2025-03</t>
        </is>
      </c>
      <c r="B37" s="27" t="n">
        <v>8</v>
      </c>
      <c r="C37" s="27" t="n">
        <v>4</v>
      </c>
      <c r="D37" s="31">
        <f>IF(B37+C37=0,0,C37/(B37+C37))</f>
        <v/>
      </c>
    </row>
    <row r="38">
      <c r="A38" s="27" t="inlineStr">
        <is>
          <t>2025-04</t>
        </is>
      </c>
      <c r="B38" s="27" t="n">
        <v>10</v>
      </c>
      <c r="C38" s="27" t="n">
        <v>6</v>
      </c>
      <c r="D38" s="31">
        <f>IF(B38+C38=0,0,C38/(B38+C38))</f>
        <v/>
      </c>
    </row>
    <row r="39">
      <c r="A39" s="27" t="inlineStr">
        <is>
          <t>2025-05</t>
        </is>
      </c>
      <c r="B39" s="27" t="n">
        <v>5</v>
      </c>
      <c r="C39" s="27" t="n">
        <v>11</v>
      </c>
      <c r="D39" s="31">
        <f>IF(B39+C39=0,0,C39/(B39+C39))</f>
        <v/>
      </c>
    </row>
    <row r="40">
      <c r="A40" s="27" t="inlineStr">
        <is>
          <t>2025-06</t>
        </is>
      </c>
      <c r="B40" s="27" t="n">
        <v>7</v>
      </c>
      <c r="C40" s="27" t="n">
        <v>10</v>
      </c>
      <c r="D40" s="31">
        <f>IF(B40+C40=0,0,C40/(B40+C40))</f>
        <v/>
      </c>
    </row>
    <row r="41">
      <c r="A41" s="27" t="inlineStr">
        <is>
          <t>2025-07</t>
        </is>
      </c>
      <c r="B41" s="27" t="n">
        <v>5</v>
      </c>
      <c r="C41" s="27" t="n">
        <v>14</v>
      </c>
      <c r="D41" s="31">
        <f>IF(B41+C41=0,0,C41/(B41+C41))</f>
        <v/>
      </c>
    </row>
    <row r="42">
      <c r="A42" s="27" t="inlineStr">
        <is>
          <t>2025-08</t>
        </is>
      </c>
      <c r="B42" s="27" t="n">
        <v>6</v>
      </c>
      <c r="C42" s="27" t="n">
        <v>11</v>
      </c>
      <c r="D42" s="31">
        <f>IF(B42+C42=0,0,C42/(B42+C42))</f>
        <v/>
      </c>
    </row>
    <row r="43">
      <c r="A43" s="27" t="inlineStr">
        <is>
          <t>2025-09</t>
        </is>
      </c>
      <c r="B43" s="27" t="n">
        <v>6</v>
      </c>
      <c r="C43" s="27" t="n">
        <v>12</v>
      </c>
      <c r="D43" s="31">
        <f>IF(B43+C43=0,0,C43/(B43+C43))</f>
        <v/>
      </c>
    </row>
    <row r="44">
      <c r="A44" s="27" t="inlineStr">
        <is>
          <t>2025-10</t>
        </is>
      </c>
      <c r="B44" s="27" t="n">
        <v>4</v>
      </c>
      <c r="C44" s="27" t="n">
        <v>11</v>
      </c>
      <c r="D44" s="31">
        <f>IF(B44+C44=0,0,C44/(B44+C44))</f>
        <v/>
      </c>
    </row>
    <row r="45">
      <c r="A45" s="27" t="inlineStr">
        <is>
          <t>2025-11</t>
        </is>
      </c>
      <c r="B45" s="27" t="n">
        <v>7</v>
      </c>
      <c r="C45" s="27" t="n">
        <v>17</v>
      </c>
      <c r="D45" s="31">
        <f>IF(B45+C45=0,0,C45/(B45+C45))</f>
        <v/>
      </c>
    </row>
    <row r="46">
      <c r="A46" s="27" t="inlineStr">
        <is>
          <t>2025-12</t>
        </is>
      </c>
      <c r="B46" s="27" t="n">
        <v>14</v>
      </c>
      <c r="C46" s="27" t="n">
        <v>17</v>
      </c>
      <c r="D46" s="31">
        <f>IF(B46+C46=0,0,C46/(B46+C46))</f>
        <v/>
      </c>
    </row>
    <row r="47">
      <c r="A47" s="27" t="inlineStr">
        <is>
          <t>2026-01</t>
        </is>
      </c>
      <c r="B47" s="27" t="n">
        <v>5</v>
      </c>
      <c r="C47" s="27" t="n">
        <v>13</v>
      </c>
      <c r="D47" s="31">
        <f>IF(B47+C47=0,0,C47/(B47+C47))</f>
        <v/>
      </c>
    </row>
    <row r="48">
      <c r="A48" s="27" t="inlineStr">
        <is>
          <t>2026-02</t>
        </is>
      </c>
      <c r="B48" s="27" t="n">
        <v>6</v>
      </c>
      <c r="C48" s="27" t="n">
        <v>13</v>
      </c>
      <c r="D48" s="31">
        <f>IF(B48+C48=0,0,C48/(B48+C48))</f>
        <v/>
      </c>
    </row>
    <row r="49">
      <c r="A49" s="27" t="inlineStr">
        <is>
          <t>2026-03</t>
        </is>
      </c>
      <c r="B49" s="27" t="n">
        <v>2</v>
      </c>
      <c r="C49" s="27" t="n">
        <v>18</v>
      </c>
      <c r="D49" s="31">
        <f>IF(B49+C49=0,0,C49/(B49+C49))</f>
        <v/>
      </c>
    </row>
    <row r="50">
      <c r="A50" s="27" t="inlineStr">
        <is>
          <t>2026-04</t>
        </is>
      </c>
      <c r="B50" s="27" t="n">
        <v>7</v>
      </c>
      <c r="C50" s="27" t="n">
        <v>10</v>
      </c>
      <c r="D50" s="31">
        <f>IF(B50+C50=0,0,C50/(B50+C50))</f>
        <v/>
      </c>
    </row>
    <row r="51">
      <c r="A51" s="27" t="inlineStr">
        <is>
          <t>2026-05</t>
        </is>
      </c>
      <c r="B51" s="27" t="n">
        <v>6</v>
      </c>
      <c r="C51" s="27" t="n">
        <v>12</v>
      </c>
      <c r="D51" s="31">
        <f>IF(B51+C51=0,0,C51/(B51+C51))</f>
        <v/>
      </c>
    </row>
    <row r="52">
      <c r="A52" s="27" t="inlineStr">
        <is>
          <t>2026-06</t>
        </is>
      </c>
      <c r="B52" s="27" t="n">
        <v>6</v>
      </c>
      <c r="C52" s="27" t="n">
        <v>15</v>
      </c>
      <c r="D52" s="31">
        <f>IF(B52+C52=0,0,C52/(B52+C52))</f>
        <v/>
      </c>
    </row>
    <row r="53">
      <c r="A53" s="27" t="inlineStr">
        <is>
          <t>2026-07</t>
        </is>
      </c>
      <c r="B53" s="27" t="n">
        <v>6</v>
      </c>
      <c r="C53" s="27" t="n">
        <v>17</v>
      </c>
      <c r="D53" s="31">
        <f>IF(B53+C53=0,0,C53/(B53+C53))</f>
        <v/>
      </c>
    </row>
    <row r="54">
      <c r="A54" s="27" t="inlineStr">
        <is>
          <t>2026-08</t>
        </is>
      </c>
      <c r="B54" s="27" t="n">
        <v>6</v>
      </c>
      <c r="C54" s="27" t="n">
        <v>16</v>
      </c>
      <c r="D54" s="31">
        <f>IF(B54+C54=0,0,C54/(B54+C54))</f>
        <v/>
      </c>
    </row>
    <row r="55">
      <c r="A55" s="27" t="inlineStr">
        <is>
          <t>2026-09</t>
        </is>
      </c>
      <c r="B55" s="27" t="n">
        <v>4</v>
      </c>
      <c r="C55" s="27" t="n">
        <v>12</v>
      </c>
      <c r="D55" s="31">
        <f>IF(B55+C55=0,0,C55/(B55+C55))</f>
        <v/>
      </c>
    </row>
    <row r="57">
      <c r="A57" s="9" t="inlineStr">
        <is>
          <t>Source: Shopify orders_export_1.csv and customers_export.csv, exported Oct 13, 2026. Partial months (Oct 2024–Jan 2025, Oct 2026) left out of the monthly table.</t>
        </is>
      </c>
    </row>
    <row r="59">
      <c r="A59" s="15" t="inlineStr">
        <is>
          <t>Store traffic · human sessions (Shopify Analytics, bots excluded)</t>
        </is>
      </c>
    </row>
    <row r="60">
      <c r="A60" s="5" t="inlineStr">
        <is>
          <t>Month</t>
        </is>
      </c>
      <c r="B60" s="6" t="inlineStr">
        <is>
          <t>Sessions</t>
        </is>
      </c>
      <c r="C60" s="6" t="inlineStr">
        <is>
          <t>Added to cart</t>
        </is>
      </c>
      <c r="D60" s="6" t="inlineStr">
        <is>
          <t>Completed checkout</t>
        </is>
      </c>
      <c r="E60" s="6" t="inlineStr">
        <is>
          <t>Conversion rate</t>
        </is>
      </c>
    </row>
    <row r="61">
      <c r="A61" s="32" t="inlineStr">
        <is>
          <t>2025-10</t>
        </is>
      </c>
      <c r="B61" s="10" t="n">
        <v>2155</v>
      </c>
      <c r="C61" s="10" t="n">
        <v>33</v>
      </c>
      <c r="D61" s="10" t="n">
        <v>15</v>
      </c>
      <c r="E61" s="33">
        <f>IF(B61=0,0,D61/B61)</f>
        <v/>
      </c>
    </row>
    <row r="62">
      <c r="A62" s="32" t="inlineStr">
        <is>
          <t>2025-11</t>
        </is>
      </c>
      <c r="B62" s="10" t="n">
        <v>2245</v>
      </c>
      <c r="C62" s="10" t="n">
        <v>30</v>
      </c>
      <c r="D62" s="10" t="n">
        <v>21</v>
      </c>
      <c r="E62" s="33">
        <f>IF(B62=0,0,D62/B62)</f>
        <v/>
      </c>
    </row>
    <row r="63">
      <c r="A63" s="32" t="inlineStr">
        <is>
          <t>2025-12</t>
        </is>
      </c>
      <c r="B63" s="10" t="n">
        <v>2131</v>
      </c>
      <c r="C63" s="10" t="n">
        <v>46</v>
      </c>
      <c r="D63" s="10" t="n">
        <v>23</v>
      </c>
      <c r="E63" s="33">
        <f>IF(B63=0,0,D63/B63)</f>
        <v/>
      </c>
    </row>
    <row r="64">
      <c r="A64" s="32" t="inlineStr">
        <is>
          <t>2026-01</t>
        </is>
      </c>
      <c r="B64" s="10" t="n">
        <v>1921</v>
      </c>
      <c r="C64" s="10" t="n">
        <v>26</v>
      </c>
      <c r="D64" s="10" t="n">
        <v>15</v>
      </c>
      <c r="E64" s="33">
        <f>IF(B64=0,0,D64/B64)</f>
        <v/>
      </c>
    </row>
    <row r="65">
      <c r="A65" s="32" t="inlineStr">
        <is>
          <t>2026-02</t>
        </is>
      </c>
      <c r="B65" s="10" t="n">
        <v>1762</v>
      </c>
      <c r="C65" s="10" t="n">
        <v>30</v>
      </c>
      <c r="D65" s="10" t="n">
        <v>15</v>
      </c>
      <c r="E65" s="33">
        <f>IF(B65=0,0,D65/B65)</f>
        <v/>
      </c>
    </row>
    <row r="66">
      <c r="A66" s="32" t="inlineStr">
        <is>
          <t>2026-03</t>
        </is>
      </c>
      <c r="B66" s="10" t="n">
        <v>2121</v>
      </c>
      <c r="C66" s="10" t="n">
        <v>34</v>
      </c>
      <c r="D66" s="10" t="n">
        <v>19</v>
      </c>
      <c r="E66" s="33">
        <f>IF(B66=0,0,D66/B66)</f>
        <v/>
      </c>
    </row>
    <row r="67">
      <c r="A67" s="32" t="inlineStr">
        <is>
          <t>2026-04</t>
        </is>
      </c>
      <c r="B67" s="10" t="n">
        <v>2107</v>
      </c>
      <c r="C67" s="10" t="n">
        <v>26</v>
      </c>
      <c r="D67" s="10" t="n">
        <v>14</v>
      </c>
      <c r="E67" s="33">
        <f>IF(B67=0,0,D67/B67)</f>
        <v/>
      </c>
    </row>
    <row r="68">
      <c r="A68" s="32" t="inlineStr">
        <is>
          <t>2026-05</t>
        </is>
      </c>
      <c r="B68" s="10" t="n">
        <v>2271</v>
      </c>
      <c r="C68" s="10" t="n">
        <v>26</v>
      </c>
      <c r="D68" s="10" t="n">
        <v>16</v>
      </c>
      <c r="E68" s="33">
        <f>IF(B68=0,0,D68/B68)</f>
        <v/>
      </c>
    </row>
    <row r="69">
      <c r="A69" s="32" t="inlineStr">
        <is>
          <t>2026-06</t>
        </is>
      </c>
      <c r="B69" s="10" t="n">
        <v>2238</v>
      </c>
      <c r="C69" s="10" t="n">
        <v>35</v>
      </c>
      <c r="D69" s="10" t="n">
        <v>20</v>
      </c>
      <c r="E69" s="33">
        <f>IF(B69=0,0,D69/B69)</f>
        <v/>
      </c>
    </row>
    <row r="70">
      <c r="A70" s="32" t="inlineStr">
        <is>
          <t>2026-07</t>
        </is>
      </c>
      <c r="B70" s="10" t="n">
        <v>2149</v>
      </c>
      <c r="C70" s="10" t="n">
        <v>29</v>
      </c>
      <c r="D70" s="10" t="n">
        <v>19</v>
      </c>
      <c r="E70" s="33">
        <f>IF(B70=0,0,D70/B70)</f>
        <v/>
      </c>
    </row>
    <row r="71">
      <c r="A71" s="32" t="inlineStr">
        <is>
          <t>2026-08</t>
        </is>
      </c>
      <c r="B71" s="10" t="n">
        <v>2084</v>
      </c>
      <c r="C71" s="10" t="n">
        <v>33</v>
      </c>
      <c r="D71" s="10" t="n">
        <v>20</v>
      </c>
      <c r="E71" s="33">
        <f>IF(B71=0,0,D71/B71)</f>
        <v/>
      </c>
    </row>
    <row r="72">
      <c r="A72" s="32" t="inlineStr">
        <is>
          <t>2026-09</t>
        </is>
      </c>
      <c r="B72" s="10" t="n">
        <v>2335</v>
      </c>
      <c r="C72" s="10" t="n">
        <v>26</v>
      </c>
      <c r="D72" s="10" t="n">
        <v>12</v>
      </c>
      <c r="E72" s="33">
        <f>IF(B72=0,0,D72/B72)</f>
        <v/>
      </c>
    </row>
    <row r="73">
      <c r="A73" s="15" t="inlineStr">
        <is>
          <t>12-month total</t>
        </is>
      </c>
      <c r="B73" s="34">
        <f>SUM(B61:B72)</f>
        <v/>
      </c>
      <c r="C73" s="34">
        <f>SUM(C61:C72)</f>
        <v/>
      </c>
      <c r="D73" s="34">
        <f>SUM(D61:D72)</f>
        <v/>
      </c>
      <c r="E73" s="35">
        <f>IF(B73=0,0,D73/B73)</f>
        <v/>
      </c>
    </row>
    <row r="74">
      <c r="A74" s="9" t="inlineStr">
        <is>
          <t>By source, Oct 2025 to Oct 13 2026, human sessions: Direct 16,250 at 0.63%; Search 9,671 at 1.11%; Social 235 at 0%. Bots added about 6,900 more.</t>
        </is>
      </c>
    </row>
    <row r="75">
      <c r="A75" s="9" t="inlineStr">
        <is>
          <t>About 1.5% of sessions add to cart; about 62% of sessions that reach checkout complete it. The leak is before the cart.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2026-10-15T18:44:26Z</dcterms:created>
  <dcterms:modified xmlns:dcterms="http://purl.org/dc/terms/" xmlns:xsi="http://www.w3.org/2001/XMLSchema-instance" xsi:type="dcterms:W3CDTF">2026-10-15T18:44:26Z</dcterms:modified>
</cp:coreProperties>
</file>