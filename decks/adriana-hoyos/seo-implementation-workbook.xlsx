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Quote Summary" sheetId="2" state="visible" r:id="rId2"/>
    <sheet xmlns:r="http://schemas.openxmlformats.org/officeDocument/2006/relationships" name="Phase 1 - Foundation" sheetId="3" state="visible" r:id="rId3"/>
    <sheet xmlns:r="http://schemas.openxmlformats.org/officeDocument/2006/relationships" name="Phase 2 - B2B Build" sheetId="4" state="visible" r:id="rId4"/>
    <sheet xmlns:r="http://schemas.openxmlformats.org/officeDocument/2006/relationships" name="Excluded - Phase 3" sheetId="5" state="visible" r:id="rId5"/>
    <sheet xmlns:r="http://schemas.openxmlformats.org/officeDocument/2006/relationships" name="Keyword Targets" sheetId="6" state="visible" r:id="rId6"/>
    <sheet xmlns:r="http://schemas.openxmlformats.org/officeDocument/2006/relationships" name="Competitor Reference" sheetId="7" state="visible" r:id="rId7"/>
    <sheet xmlns:r="http://schemas.openxmlformats.org/officeDocument/2006/relationships" name="Access &amp; Dependenc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0.00"/>
  </numFmts>
  <fonts count="6">
    <font>
      <name val="Calibri"/>
      <family val="2"/>
      <color theme="1"/>
      <sz val="11"/>
      <scheme val="minor"/>
    </font>
    <font>
      <name val="Arial"/>
      <b val="1"/>
      <color rgb="00211E1A"/>
      <sz val="16"/>
    </font>
    <font>
      <name val="Arial"/>
      <i val="1"/>
      <color rgb="005A554D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EFE6D2"/>
      </patternFill>
    </fill>
    <fill>
      <patternFill patternType="solid">
        <fgColor rgb="006B4F1E"/>
      </patternFill>
    </fill>
  </fills>
  <borders count="2">
    <border>
      <left/>
      <right/>
      <top/>
      <bottom/>
      <diagonal/>
    </border>
    <border>
      <left style="thin">
        <color rgb="00DFD8C9"/>
      </left>
      <right style="thin">
        <color rgb="00DFD8C9"/>
      </right>
      <top style="thin">
        <color rgb="00DFD8C9"/>
      </top>
      <bottom style="thin">
        <color rgb="00DFD8C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4" fillId="2" borderId="0" pivotButton="0" quotePrefix="0" xfId="0"/>
    <xf numFmtId="0" fontId="4" fillId="3" borderId="0" pivotButton="0" quotePrefix="0" xfId="0"/>
    <xf numFmtId="164" fontId="0" fillId="2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3" borderId="1" pivotButton="0" quotePrefix="0" xfId="0"/>
    <xf numFmtId="165" fontId="4" fillId="0" borderId="1" applyAlignment="1" pivotButton="0" quotePrefix="0" xfId="0">
      <alignment vertical="top" wrapText="1"/>
    </xf>
    <xf numFmtId="0" fontId="4" fillId="2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Adriana Hoyos — SEO Implementation Workbook</t>
        </is>
      </c>
    </row>
    <row r="2">
      <c r="A2" s="2" t="inlineStr">
        <is>
          <t>Companion to: AH B2B &amp; Franchise Digital Presence Report (decks.embertribe.com)</t>
        </is>
      </c>
    </row>
    <row r="3">
      <c r="A3" s="2" t="inlineStr">
        <is>
          <t>Prepared for: SEO strategist quoting — Jul 2026</t>
        </is>
      </c>
    </row>
    <row r="5">
      <c r="A5" s="3" t="inlineStr">
        <is>
          <t>How to use this workbook</t>
        </is>
      </c>
    </row>
    <row r="6">
      <c r="A6" s="4" t="inlineStr">
        <is>
          <t>1. Review the Phase 1 and Phase 2 task tabs — each row is a discrete, quotable line item.</t>
        </is>
      </c>
    </row>
    <row r="7">
      <c r="A7" s="4" t="inlineStr">
        <is>
          <t>2. Fill in 'Est. Hours' (yellow cells) per task based on your estimate.</t>
        </is>
      </c>
    </row>
    <row r="8">
      <c r="A8" s="4" t="inlineStr">
        <is>
          <t>3. Set your hourly rate once on the Quote Summary tab (yellow cell) — cost columns and totals calculate automatically.</t>
        </is>
      </c>
    </row>
    <row r="9">
      <c r="A9" s="4" t="inlineStr">
        <is>
          <t>4. Keyword Targets tab shows verified search-demand data (Semrush, Jul 2026) behind the Phase 2 content tasks.</t>
        </is>
      </c>
    </row>
    <row r="10">
      <c r="A10" s="4" t="inlineStr">
        <is>
          <t>5. Competitor Reference tab shows the domain-authority/backlink benchmarks referenced in the client report.</t>
        </is>
      </c>
    </row>
    <row r="11">
      <c r="A11" s="4" t="inlineStr">
        <is>
          <t>6. Access &amp; Dependencies tab lists what needs to be granted before each phase can start — flag anything still open.</t>
        </is>
      </c>
    </row>
    <row r="12">
      <c r="A12" s="4" t="inlineStr">
        <is>
          <t>7. Excluded / Phase 3 tab documents what was deliberately left out of this quote and why — do not price it in.</t>
        </is>
      </c>
    </row>
    <row r="14">
      <c r="A14" s="3" t="inlineStr">
        <is>
          <t>Legend</t>
        </is>
      </c>
    </row>
    <row r="15">
      <c r="A15" s="5" t="inlineStr">
        <is>
          <t xml:space="preserve">  Yellow fill = enter your estimate here</t>
        </is>
      </c>
    </row>
    <row r="16">
      <c r="A16" s="6" t="inlineStr">
        <is>
          <t xml:space="preserve">  Tan fill = calculated subtotal, do not 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SEO Implementation — Quote Summary</t>
        </is>
      </c>
    </row>
    <row r="3">
      <c r="A3" s="3" t="inlineStr">
        <is>
          <t>Hourly Rate ($)</t>
        </is>
      </c>
      <c r="B3" s="7" t="n"/>
    </row>
    <row r="5">
      <c r="A5" s="8" t="inlineStr">
        <is>
          <t>Phase</t>
        </is>
      </c>
      <c r="B5" s="8" t="inlineStr">
        <is>
          <t>Task Count</t>
        </is>
      </c>
      <c r="C5" s="8" t="inlineStr">
        <is>
          <t>Total Hours</t>
        </is>
      </c>
      <c r="D5" s="8" t="inlineStr">
        <is>
          <t>Total Cost</t>
        </is>
      </c>
    </row>
    <row r="6">
      <c r="A6" s="9" t="inlineStr">
        <is>
          <t>Phase 1 — Foundation</t>
        </is>
      </c>
      <c r="B6" s="10">
        <f>COUNTA('Phase 1 - Foundation'!A2:A9)</f>
        <v/>
      </c>
      <c r="C6" s="10">
        <f>'Phase 1 - Foundation'!I10</f>
        <v/>
      </c>
      <c r="D6" s="11">
        <f>'Phase 1 - Foundation'!J10</f>
        <v/>
      </c>
    </row>
    <row r="7">
      <c r="A7" s="9" t="inlineStr">
        <is>
          <t>Phase 2 — B2B / Franchise Build</t>
        </is>
      </c>
      <c r="B7" s="10">
        <f>COUNTA('Phase 2 - B2B Build'!A2:A8)</f>
        <v/>
      </c>
      <c r="C7" s="10">
        <f>'Phase 2 - B2B Build'!I9</f>
        <v/>
      </c>
      <c r="D7" s="11">
        <f>'Phase 2 - B2B Build'!J9</f>
        <v/>
      </c>
    </row>
    <row r="8">
      <c r="A8" s="12" t="inlineStr">
        <is>
          <t>Grand Total</t>
        </is>
      </c>
      <c r="B8" s="13">
        <f>SUM(B6:B7)</f>
        <v/>
      </c>
      <c r="C8" s="13">
        <f>SUM(C6:C7)</f>
        <v/>
      </c>
      <c r="D8" s="14">
        <f>SUM(D6:D7)</f>
        <v/>
      </c>
    </row>
    <row r="10">
      <c r="A10" s="15" t="inlineStr">
        <is>
          <t>Note: Phase 3 (franchisee playbook templating) is intentionally excluded from this quote — see 'Excluded - Phase 3' tab.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32" customWidth="1" min="4" max="4"/>
    <col width="32" customWidth="1" min="5" max="5"/>
    <col width="10" customWidth="1" min="6" max="6"/>
    <col width="18" customWidth="1" min="7" max="7"/>
    <col width="34" customWidth="1" min="8" max="8"/>
    <col width="11" customWidth="1" min="9" max="9"/>
    <col width="11" customWidth="1" min="10" max="10"/>
  </cols>
  <sheetData>
    <row r="1" ht="32" customHeight="1">
      <c r="A1" s="8" t="inlineStr">
        <is>
          <t>ID</t>
        </is>
      </c>
      <c r="B1" s="8" t="inlineStr">
        <is>
          <t>Task</t>
        </is>
      </c>
      <c r="C1" s="8" t="inlineStr">
        <is>
          <t>Page / Scope</t>
        </is>
      </c>
      <c r="D1" s="8" t="inlineStr">
        <is>
          <t>Current State</t>
        </is>
      </c>
      <c r="E1" s="8" t="inlineStr">
        <is>
          <t>Target State</t>
        </is>
      </c>
      <c r="F1" s="8" t="inlineStr">
        <is>
          <t>Priority</t>
        </is>
      </c>
      <c r="G1" s="8" t="inlineStr">
        <is>
          <t>Access Needed</t>
        </is>
      </c>
      <c r="H1" s="8" t="inlineStr">
        <is>
          <t>Notes</t>
        </is>
      </c>
      <c r="I1" s="8" t="inlineStr">
        <is>
          <t>Est. Hours</t>
        </is>
      </c>
      <c r="J1" s="8" t="inlineStr">
        <is>
          <t>Est. Cost</t>
        </is>
      </c>
    </row>
    <row r="2">
      <c r="A2" s="16" t="inlineStr">
        <is>
          <t>P1-01</t>
        </is>
      </c>
      <c r="B2" s="16" t="inlineStr">
        <is>
          <t>Consolidate homepage H1 tags</t>
        </is>
      </c>
      <c r="C2" s="16" t="inlineStr">
        <is>
          <t>Homepage</t>
        </is>
      </c>
      <c r="D2" s="16" t="inlineStr">
        <is>
          <t>28 H1 tags found (confirmed via JS-rendered DOM audit)</t>
        </is>
      </c>
      <c r="E2" s="16" t="inlineStr">
        <is>
          <t>Single canonical H1</t>
        </is>
      </c>
      <c r="F2" s="16" t="inlineStr">
        <is>
          <t>Critical</t>
        </is>
      </c>
      <c r="G2" s="16" t="inlineStr">
        <is>
          <t>CMS/dev</t>
        </is>
      </c>
      <c r="H2" s="16" t="inlineStr">
        <is>
          <t>Confirm which templating component is injecting duplicate H1s before removing</t>
        </is>
      </c>
      <c r="I2" s="17" t="n"/>
      <c r="J2" s="18">
        <f>IF(I2="","",I2*'Quote Summary'!$B$3)</f>
        <v/>
      </c>
    </row>
    <row r="3">
      <c r="A3" s="16" t="inlineStr">
        <is>
          <t>P1-02</t>
        </is>
      </c>
      <c r="B3" s="16" t="inlineStr">
        <is>
          <t>Implement structured data / schema markup</t>
        </is>
      </c>
      <c r="C3" s="16" t="inlineStr">
        <is>
          <t>Sitewide (homepage, locations, product pages)</t>
        </is>
      </c>
      <c r="D3" s="16" t="inlineStr">
        <is>
          <t>No LocalBusiness, Organization, or Product schema found on any page reviewed</t>
        </is>
      </c>
      <c r="E3" s="16" t="inlineStr">
        <is>
          <t>Schema deployed sitewide</t>
        </is>
      </c>
      <c r="F3" s="16" t="inlineStr">
        <is>
          <t>Critical</t>
        </is>
      </c>
      <c r="G3" s="16" t="inlineStr">
        <is>
          <t>CMS/dev</t>
        </is>
      </c>
      <c r="H3" s="16" t="inlineStr">
        <is>
          <t>Prerequisite for local-pack visibility once city pages launch in Phase 2</t>
        </is>
      </c>
      <c r="I3" s="17" t="n"/>
      <c r="J3" s="18">
        <f>IF(I3="","",I3*'Quote Summary'!$B$3)</f>
        <v/>
      </c>
    </row>
    <row r="4">
      <c r="A4" s="16" t="inlineStr">
        <is>
          <t>P1-03</t>
        </is>
      </c>
      <c r="B4" s="16" t="inlineStr">
        <is>
          <t>Write custom meta descriptions</t>
        </is>
      </c>
      <c r="C4" s="16" t="inlineStr">
        <is>
          <t>Homepage, /locations/, product category pages</t>
        </is>
      </c>
      <c r="D4" s="16" t="inlineStr">
        <is>
          <t>Missing — Google auto-generates snippet text</t>
        </is>
      </c>
      <c r="E4" s="16" t="inlineStr">
        <is>
          <t>Custom, keyword-aligned meta descriptions</t>
        </is>
      </c>
      <c r="F4" s="16" t="inlineStr">
        <is>
          <t>High</t>
        </is>
      </c>
      <c r="G4" s="16" t="inlineStr">
        <is>
          <t>CMS/dev + copywriting</t>
        </is>
      </c>
      <c r="H4" s="16" t="inlineStr">
        <is>
          <t>Coordinate voice/tone with brand team (Constanza)</t>
        </is>
      </c>
      <c r="I4" s="17" t="n"/>
      <c r="J4" s="18">
        <f>IF(I4="","",I4*'Quote Summary'!$B$3)</f>
        <v/>
      </c>
    </row>
    <row r="5">
      <c r="A5" s="16" t="inlineStr">
        <is>
          <t>P1-04</t>
        </is>
      </c>
      <c r="B5" s="16" t="inlineStr">
        <is>
          <t>Resolve keyword cannibalization — "Design Studio" cluster</t>
        </is>
      </c>
      <c r="C5" s="16" t="inlineStr">
        <is>
          <t>20+ pages</t>
        </is>
      </c>
      <c r="D5" s="16" t="inlineStr">
        <is>
          <t>20+ pages competing for "adriana hoyos design studio," positions 2–75</t>
        </is>
      </c>
      <c r="E5" s="16" t="inlineStr">
        <is>
          <t>One canonical page; others redirected or canonicalized</t>
        </is>
      </c>
      <c r="F5" s="16" t="inlineStr">
        <is>
          <t>Critical</t>
        </is>
      </c>
      <c r="G5" s="16" t="inlineStr">
        <is>
          <t>CMS/dev + IA decision</t>
        </is>
      </c>
      <c r="H5" s="16" t="inlineStr">
        <is>
          <t>Ties to the confirmed decision to keep the Design Studio subdomain separate</t>
        </is>
      </c>
      <c r="I5" s="17" t="n"/>
      <c r="J5" s="18">
        <f>IF(I5="","",I5*'Quote Summary'!$B$3)</f>
        <v/>
      </c>
    </row>
    <row r="6">
      <c r="A6" s="16" t="inlineStr">
        <is>
          <t>P1-05</t>
        </is>
      </c>
      <c r="B6" s="16" t="inlineStr">
        <is>
          <t>Resolve keyword cannibalization — dining chairs cluster</t>
        </is>
      </c>
      <c r="C6" s="16" t="inlineStr">
        <is>
          <t>47 URLs</t>
        </is>
      </c>
      <c r="D6" s="16" t="inlineStr">
        <is>
          <t>"adriana hoyos dining chairs" competes across 47 separate URLs</t>
        </is>
      </c>
      <c r="E6" s="16" t="inlineStr">
        <is>
          <t>Canonical product/category page identified and reinforced</t>
        </is>
      </c>
      <c r="F6" s="16" t="inlineStr">
        <is>
          <t>High</t>
        </is>
      </c>
      <c r="G6" s="16" t="inlineStr">
        <is>
          <t>CMS/dev</t>
        </is>
      </c>
      <c r="H6" s="16" t="inlineStr"/>
      <c r="I6" s="17" t="n"/>
      <c r="J6" s="18">
        <f>IF(I6="","",I6*'Quote Summary'!$B$3)</f>
        <v/>
      </c>
    </row>
    <row r="7">
      <c r="A7" s="16" t="inlineStr">
        <is>
          <t>P1-06</t>
        </is>
      </c>
      <c r="B7" s="16" t="inlineStr">
        <is>
          <t>Noindex the Design Studio subdomain</t>
        </is>
      </c>
      <c r="C7" s="16" t="inlineStr">
        <is>
          <t>adrianahoyosdesignstudio.com</t>
        </is>
      </c>
      <c r="D7" s="16" t="inlineStr">
        <is>
          <t>Indexable, competing with furnishing-business keywords</t>
        </is>
      </c>
      <c r="E7" s="16" t="inlineStr">
        <is>
          <t>robots.txt noindex directive applied</t>
        </is>
      </c>
      <c r="F7" s="16" t="inlineStr">
        <is>
          <t>Medium</t>
        </is>
      </c>
      <c r="G7" s="16" t="inlineStr">
        <is>
          <t>Subdomain hosting/DNS access</t>
        </is>
      </c>
      <c r="H7" s="16" t="inlineStr">
        <is>
          <t>Client confirmed on 7/10/26 call this should stay separate and unindexed</t>
        </is>
      </c>
      <c r="I7" s="17" t="n"/>
      <c r="J7" s="18">
        <f>IF(I7="","",I7*'Quote Summary'!$B$3)</f>
        <v/>
      </c>
    </row>
    <row r="8">
      <c r="A8" s="16" t="inlineStr">
        <is>
          <t>P1-07</t>
        </is>
      </c>
      <c r="B8" s="16" t="inlineStr">
        <is>
          <t>Press backlink dofollow outreach</t>
        </is>
      </c>
      <c r="C8" s="16" t="inlineStr">
        <is>
          <t>Architectural Digest (2 links), Robb Report (1 link)</t>
        </is>
      </c>
      <c r="D8" s="16" t="inlineStr">
        <is>
          <t>Both nofollow — no authority passed</t>
        </is>
      </c>
      <c r="E8" s="16" t="inlineStr">
        <is>
          <t>Dofollow requested on next placements with each publication</t>
        </is>
      </c>
      <c r="F8" s="16" t="inlineStr">
        <is>
          <t>Medium</t>
        </is>
      </c>
      <c r="G8" s="16" t="inlineStr">
        <is>
          <t>PR/comms relationship (not technical)</t>
        </is>
      </c>
      <c r="H8" s="16" t="inlineStr">
        <is>
          <t>Elle Decor's existing link is already dofollow (Page AS 34) — no action needed there</t>
        </is>
      </c>
      <c r="I8" s="17" t="n"/>
      <c r="J8" s="18">
        <f>IF(I8="","",I8*'Quote Summary'!$B$3)</f>
        <v/>
      </c>
    </row>
    <row r="9">
      <c r="A9" s="16" t="inlineStr">
        <is>
          <t>P1-08</t>
        </is>
      </c>
      <c r="B9" s="16" t="inlineStr">
        <is>
          <t>Referring-domain decline investigation</t>
        </is>
      </c>
      <c r="C9" s="16" t="inlineStr">
        <is>
          <t>Sitewide backlink profile</t>
        </is>
      </c>
      <c r="D9" s="16" t="inlineStr">
        <is>
          <t>Referring domains down from ~900 (year prior) to 657 (May '26) to 578 (Jul '26)</t>
        </is>
      </c>
      <c r="E9" s="16" t="inlineStr">
        <is>
          <t>Root causes identified; priority reclamation list built</t>
        </is>
      </c>
      <c r="F9" s="16" t="inlineStr">
        <is>
          <t>Medium</t>
        </is>
      </c>
      <c r="G9" s="16" t="inlineStr">
        <is>
          <t>Backlink Analytics (in hand) + outreach capacity</t>
        </is>
      </c>
      <c r="H9" s="16" t="inlineStr">
        <is>
          <t>Trend is still declining as of this pull</t>
        </is>
      </c>
      <c r="I9" s="17" t="n"/>
      <c r="J9" s="18">
        <f>IF(I9="","",I9*'Quote Summary'!$B$3)</f>
        <v/>
      </c>
    </row>
    <row r="10">
      <c r="A10" s="19" t="n"/>
      <c r="B10" s="20" t="inlineStr">
        <is>
          <t>Phase 1 Subtotal</t>
        </is>
      </c>
      <c r="C10" s="19" t="n"/>
      <c r="D10" s="19" t="n"/>
      <c r="E10" s="19" t="n"/>
      <c r="F10" s="19" t="n"/>
      <c r="G10" s="19" t="n"/>
      <c r="H10" s="19" t="n"/>
      <c r="I10" s="13">
        <f>SUM(I2:I9)</f>
        <v/>
      </c>
      <c r="J10" s="14">
        <f>SUM(J2:J9)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32" customWidth="1" min="4" max="4"/>
    <col width="32" customWidth="1" min="5" max="5"/>
    <col width="10" customWidth="1" min="6" max="6"/>
    <col width="18" customWidth="1" min="7" max="7"/>
    <col width="34" customWidth="1" min="8" max="8"/>
    <col width="11" customWidth="1" min="9" max="9"/>
    <col width="11" customWidth="1" min="10" max="10"/>
  </cols>
  <sheetData>
    <row r="1" ht="32" customHeight="1">
      <c r="A1" s="8" t="inlineStr">
        <is>
          <t>ID</t>
        </is>
      </c>
      <c r="B1" s="8" t="inlineStr">
        <is>
          <t>Task</t>
        </is>
      </c>
      <c r="C1" s="8" t="inlineStr">
        <is>
          <t>Page / Scope</t>
        </is>
      </c>
      <c r="D1" s="8" t="inlineStr">
        <is>
          <t>Current State</t>
        </is>
      </c>
      <c r="E1" s="8" t="inlineStr">
        <is>
          <t>Target State</t>
        </is>
      </c>
      <c r="F1" s="8" t="inlineStr">
        <is>
          <t>Priority</t>
        </is>
      </c>
      <c r="G1" s="8" t="inlineStr">
        <is>
          <t>Access Needed</t>
        </is>
      </c>
      <c r="H1" s="8" t="inlineStr">
        <is>
          <t>Notes</t>
        </is>
      </c>
      <c r="I1" s="8" t="inlineStr">
        <is>
          <t>Est. Hours</t>
        </is>
      </c>
      <c r="J1" s="8" t="inlineStr">
        <is>
          <t>Est. Cost</t>
        </is>
      </c>
    </row>
    <row r="2">
      <c r="A2" s="16" t="inlineStr">
        <is>
          <t>P2-01</t>
        </is>
      </c>
      <c r="B2" s="16" t="inlineStr">
        <is>
          <t>Build Trade Program / Become a Franchisee hub</t>
        </is>
      </c>
      <c r="C2" s="16" t="inlineStr">
        <is>
          <t>New page(s) on .com</t>
        </is>
      </c>
      <c r="D2" s="16" t="inlineStr">
        <is>
          <t>Does not exist</t>
        </is>
      </c>
      <c r="E2" s="16" t="inlineStr">
        <is>
          <t>Staged page with context before any login wall (model: Caracole, Bernhardt)</t>
        </is>
      </c>
      <c r="F2" s="16" t="inlineStr">
        <is>
          <t>Critical</t>
        </is>
      </c>
      <c r="G2" s="16" t="inlineStr">
        <is>
          <t>GA/GSC access + content + dev</t>
        </is>
      </c>
      <c r="H2" s="16" t="inlineStr">
        <is>
          <t>Primary landing page for the entire 'trade program' keyword cluster</t>
        </is>
      </c>
      <c r="I2" s="17" t="n"/>
      <c r="J2" s="18">
        <f>IF(I2="","",I2*'Quote Summary'!$B$3)</f>
        <v/>
      </c>
    </row>
    <row r="3">
      <c r="A3" s="16" t="inlineStr">
        <is>
          <t>P2-02</t>
        </is>
      </c>
      <c r="B3" s="16" t="inlineStr">
        <is>
          <t>Launch .us with city-based URL structure</t>
        </is>
      </c>
      <c r="C3" s="16" t="inlineStr">
        <is>
          <t>New domain: .us</t>
        </is>
      </c>
      <c r="D3" s="16" t="inlineStr">
        <is>
          <t>Not live</t>
        </is>
      </c>
      <c r="E3" s="16" t="inlineStr">
        <is>
          <t>Live with subfolder structure (/us/dc, /us/austin, /us/coral-gables)</t>
        </is>
      </c>
      <c r="F3" s="16" t="inlineStr">
        <is>
          <t>Critical</t>
        </is>
      </c>
      <c r="G3" s="16" t="inlineStr">
        <is>
          <t>DNS/hosting + dev</t>
        </is>
      </c>
      <c r="H3" s="16" t="inlineStr">
        <is>
          <t>Coordinate URL structure with Meta ad-account naming (marketing team)</t>
        </is>
      </c>
      <c r="I3" s="17" t="n"/>
      <c r="J3" s="18">
        <f>IF(I3="","",I3*'Quote Summary'!$B$3)</f>
        <v/>
      </c>
    </row>
    <row r="4">
      <c r="A4" s="16" t="inlineStr">
        <is>
          <t>P2-03</t>
        </is>
      </c>
      <c r="B4" s="16" t="inlineStr">
        <is>
          <t>Build individual location pages</t>
        </is>
      </c>
      <c r="C4" s="16" t="inlineStr">
        <is>
          <t>Coral Gables, DC (initial 2 cities)</t>
        </is>
      </c>
      <c r="D4" s="16" t="inlineStr">
        <is>
          <t>Single shared /locations/ page — 1 visit/month</t>
        </is>
      </c>
      <c r="E4" s="16" t="inlineStr">
        <is>
          <t>Dedicated page per city, each with local schema</t>
        </is>
      </c>
      <c r="F4" s="16" t="inlineStr">
        <is>
          <t>Critical</t>
        </is>
      </c>
      <c r="G4" s="16" t="inlineStr">
        <is>
          <t>Dev + content</t>
        </is>
      </c>
      <c r="H4" s="16" t="inlineStr">
        <is>
          <t>Template this build so it's replicable for future cities</t>
        </is>
      </c>
      <c r="I4" s="17" t="n"/>
      <c r="J4" s="18">
        <f>IF(I4="","",I4*'Quote Summary'!$B$3)</f>
        <v/>
      </c>
    </row>
    <row r="5">
      <c r="A5" s="16" t="inlineStr">
        <is>
          <t>P2-04</t>
        </is>
      </c>
      <c r="B5" s="16" t="inlineStr">
        <is>
          <t>Trade-program content build</t>
        </is>
      </c>
      <c r="C5" s="16" t="inlineStr">
        <is>
          <t>Trade Program hub + supporting pages</t>
        </is>
      </c>
      <c r="D5" s="16" t="inlineStr">
        <is>
          <t>Zero ranking keywords in this cluster</t>
        </is>
      </c>
      <c r="E5" s="16" t="inlineStr">
        <is>
          <t>Target "interior design trade programs," "interior designer trade program," "trade programs for interior designers"</t>
        </is>
      </c>
      <c r="F5" s="16" t="inlineStr">
        <is>
          <t>High</t>
        </is>
      </c>
      <c r="G5" s="16" t="inlineStr">
        <is>
          <t>Content writer + SEO</t>
        </is>
      </c>
      <c r="H5" s="16" t="inlineStr">
        <is>
          <t>See Keyword Targets tab for full cluster and volumes</t>
        </is>
      </c>
      <c r="I5" s="17" t="n"/>
      <c r="J5" s="18">
        <f>IF(I5="","",I5*'Quote Summary'!$B$3)</f>
        <v/>
      </c>
    </row>
    <row r="6">
      <c r="A6" s="16" t="inlineStr">
        <is>
          <t>P2-05</t>
        </is>
      </c>
      <c r="B6" s="16" t="inlineStr">
        <is>
          <t>Franchise-opportunity content build</t>
        </is>
      </c>
      <c r="C6" s="16" t="inlineStr">
        <is>
          <t>Franchise hub page</t>
        </is>
      </c>
      <c r="D6" s="16" t="inlineStr">
        <is>
          <t>Zero ranking keywords in this cluster</t>
        </is>
      </c>
      <c r="E6" s="16" t="inlineStr">
        <is>
          <t>Target "furniture franchise opportunities," "furniture franchise"</t>
        </is>
      </c>
      <c r="F6" s="16" t="inlineStr">
        <is>
          <t>Medium</t>
        </is>
      </c>
      <c r="G6" s="16" t="inlineStr">
        <is>
          <t>Content writer + SEO</t>
        </is>
      </c>
      <c r="H6" s="16" t="inlineStr">
        <is>
          <t>Low volume (70/mo top term) but currently uncontested past BoConcept's #3</t>
        </is>
      </c>
      <c r="I6" s="17" t="n"/>
      <c r="J6" s="18">
        <f>IF(I6="","",I6*'Quote Summary'!$B$3)</f>
        <v/>
      </c>
    </row>
    <row r="7">
      <c r="A7" s="16" t="inlineStr">
        <is>
          <t>P2-06</t>
        </is>
      </c>
      <c r="B7" s="16" t="inlineStr">
        <is>
          <t>Secure GA4 / GSC access and run full baseline audit</t>
        </is>
      </c>
      <c r="C7" s="16" t="inlineStr">
        <is>
          <t>Client analytics accounts</t>
        </is>
      </c>
      <c r="D7" s="16" t="inlineStr">
        <is>
          <t>Not yet granted</t>
        </is>
      </c>
      <c r="E7" s="16" t="inlineStr">
        <is>
          <t>Full keyword/traffic baseline established for precise Phase 2 scoping</t>
        </is>
      </c>
      <c r="F7" s="16" t="inlineStr">
        <is>
          <t>Critical — blocks precise scoping</t>
        </is>
      </c>
      <c r="G7" s="16" t="inlineStr">
        <is>
          <t>Client IT / Alegria</t>
        </is>
      </c>
      <c r="H7" s="16" t="inlineStr">
        <is>
          <t>Requested on the 7/10/26 call; still pending as of this workbook</t>
        </is>
      </c>
      <c r="I7" s="17" t="n"/>
      <c r="J7" s="18">
        <f>IF(I7="","",I7*'Quote Summary'!$B$3)</f>
        <v/>
      </c>
    </row>
    <row r="8">
      <c r="A8" s="16" t="inlineStr">
        <is>
          <t>P2-07</t>
        </is>
      </c>
      <c r="B8" s="16" t="inlineStr">
        <is>
          <t>Local citation / NAP consistency pass</t>
        </is>
      </c>
      <c r="C8" s="16" t="inlineStr">
        <is>
          <t>Coral Gables + DC (and future cities)</t>
        </is>
      </c>
      <c r="D8" s="16" t="inlineStr">
        <is>
          <t>Unverified across directories and Google Business Profile</t>
        </is>
      </c>
      <c r="E8" s="16" t="inlineStr">
        <is>
          <t>Consistent NAP sitewide and across major directories</t>
        </is>
      </c>
      <c r="F8" s="16" t="inlineStr">
        <is>
          <t>High</t>
        </is>
      </c>
      <c r="G8" s="16" t="inlineStr">
        <is>
          <t>Google Business Profile admin access</t>
        </is>
      </c>
      <c r="H8" s="16" t="inlineStr"/>
      <c r="I8" s="17" t="n"/>
      <c r="J8" s="18">
        <f>IF(I8="","",I8*'Quote Summary'!$B$3)</f>
        <v/>
      </c>
    </row>
    <row r="9">
      <c r="A9" s="19" t="n"/>
      <c r="B9" s="20" t="inlineStr">
        <is>
          <t>Phase 2 Subtotal</t>
        </is>
      </c>
      <c r="C9" s="19" t="n"/>
      <c r="D9" s="19" t="n"/>
      <c r="E9" s="19" t="n"/>
      <c r="F9" s="19" t="n"/>
      <c r="G9" s="19" t="n"/>
      <c r="H9" s="19" t="n"/>
      <c r="I9" s="13">
        <f>SUM(I2:I8)</f>
        <v/>
      </c>
      <c r="J9" s="14">
        <f>SUM(J2:J8)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30" customWidth="1" min="4" max="4"/>
  </cols>
  <sheetData>
    <row r="1">
      <c r="A1" s="8" t="inlineStr">
        <is>
          <t>Item</t>
        </is>
      </c>
      <c r="B1" s="8" t="inlineStr">
        <is>
          <t>Description</t>
        </is>
      </c>
      <c r="C1" s="8" t="inlineStr">
        <is>
          <t>Why it's excluded from this quote</t>
        </is>
      </c>
      <c r="D1" s="8" t="inlineStr">
        <is>
          <t>Revisit when</t>
        </is>
      </c>
    </row>
    <row r="2">
      <c r="A2" s="16" t="inlineStr">
        <is>
          <t>Franchisee playbook templating</t>
        </is>
      </c>
      <c r="B2" s="16" t="inlineStr">
        <is>
          <t>Turn the .us city-page structure into a repeatable template — local SEO, local schema, and a matching Meta account — for future franchisees to launch on.</t>
        </is>
      </c>
      <c r="C2" s="16" t="inlineStr">
        <is>
          <t>There is no second franchisee yet; Sean's DC location hasn't opened. Building a 'repeatable' template before there's a second real data point to design against is scope that can't be defended if challenged.</t>
        </is>
      </c>
      <c r="D2" s="16" t="inlineStr">
        <is>
          <t>Once the DC location is live and a second franchisee city is identified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20" customWidth="1" min="3" max="3"/>
    <col width="7" customWidth="1" min="4" max="4"/>
    <col width="8" customWidth="1" min="5" max="5"/>
    <col width="18" customWidth="1" min="6" max="6"/>
    <col width="9" customWidth="1" min="7" max="7"/>
    <col width="16" customWidth="1" min="8" max="8"/>
    <col width="22" customWidth="1" min="9" max="9"/>
  </cols>
  <sheetData>
    <row r="1">
      <c r="A1" s="8" t="inlineStr">
        <is>
          <t>Keyword</t>
        </is>
      </c>
      <c r="B1" s="8" t="inlineStr">
        <is>
          <t>Volume/mo</t>
        </is>
      </c>
      <c r="C1" s="8" t="inlineStr">
        <is>
          <t>Intent</t>
        </is>
      </c>
      <c r="D1" s="8" t="inlineStr">
        <is>
          <t>KD</t>
        </is>
      </c>
      <c r="E1" s="8" t="inlineStr">
        <is>
          <t>CPC</t>
        </is>
      </c>
      <c r="F1" s="8" t="inlineStr">
        <is>
          <t>Currently Owned By</t>
        </is>
      </c>
      <c r="G1" s="8" t="inlineStr">
        <is>
          <t>Position</t>
        </is>
      </c>
      <c r="H1" s="8" t="inlineStr">
        <is>
          <t>Cluster</t>
        </is>
      </c>
      <c r="I1" s="8" t="inlineStr">
        <is>
          <t>Target Page (fill in)</t>
        </is>
      </c>
    </row>
    <row r="2">
      <c r="A2" s="16" t="inlineStr">
        <is>
          <t>interior design trade programs</t>
        </is>
      </c>
      <c r="B2" s="16" t="n">
        <v>90</v>
      </c>
      <c r="C2" s="16" t="inlineStr">
        <is>
          <t>Informational</t>
        </is>
      </c>
      <c r="D2" s="16" t="n">
        <v>13</v>
      </c>
      <c r="E2" s="21" t="n">
        <v>19.74</v>
      </c>
      <c r="F2" s="16" t="inlineStr">
        <is>
          <t>—</t>
        </is>
      </c>
      <c r="G2" s="16" t="inlineStr">
        <is>
          <t>—</t>
        </is>
      </c>
      <c r="H2" s="16" t="inlineStr">
        <is>
          <t>Trade Program</t>
        </is>
      </c>
      <c r="I2" s="22" t="n"/>
    </row>
    <row r="3">
      <c r="A3" s="16" t="inlineStr">
        <is>
          <t>interior designer trade program</t>
        </is>
      </c>
      <c r="B3" s="16" t="n">
        <v>50</v>
      </c>
      <c r="C3" s="16" t="inlineStr">
        <is>
          <t>Informational</t>
        </is>
      </c>
      <c r="D3" s="16" t="n">
        <v>26</v>
      </c>
      <c r="E3" s="21" t="n">
        <v>18.76</v>
      </c>
      <c r="F3" s="16" t="inlineStr">
        <is>
          <t>—</t>
        </is>
      </c>
      <c r="G3" s="16" t="inlineStr">
        <is>
          <t>—</t>
        </is>
      </c>
      <c r="H3" s="16" t="inlineStr">
        <is>
          <t>Trade Program</t>
        </is>
      </c>
      <c r="I3" s="22" t="n"/>
    </row>
    <row r="4">
      <c r="A4" s="16" t="inlineStr">
        <is>
          <t>interior designer trade programs</t>
        </is>
      </c>
      <c r="B4" s="16" t="n">
        <v>50</v>
      </c>
      <c r="C4" s="16" t="inlineStr">
        <is>
          <t>Commercial</t>
        </is>
      </c>
      <c r="D4" s="16" t="n">
        <v>15</v>
      </c>
      <c r="E4" s="21" t="n">
        <v>10.19</v>
      </c>
      <c r="F4" s="16" t="inlineStr">
        <is>
          <t>Ethan Allen</t>
        </is>
      </c>
      <c r="G4" s="16" t="inlineStr">
        <is>
          <t>#32</t>
        </is>
      </c>
      <c r="H4" s="16" t="inlineStr">
        <is>
          <t>Trade Program</t>
        </is>
      </c>
      <c r="I4" s="22" t="n"/>
    </row>
    <row r="5">
      <c r="A5" s="16" t="inlineStr">
        <is>
          <t>trade programs for interior designers</t>
        </is>
      </c>
      <c r="B5" s="16" t="n">
        <v>40</v>
      </c>
      <c r="C5" s="16" t="inlineStr">
        <is>
          <t>Commercial</t>
        </is>
      </c>
      <c r="D5" s="16" t="n">
        <v>17</v>
      </c>
      <c r="E5" s="21" t="n">
        <v>7.65</v>
      </c>
      <c r="F5" s="16" t="inlineStr">
        <is>
          <t>—</t>
        </is>
      </c>
      <c r="G5" s="16" t="inlineStr">
        <is>
          <t>—</t>
        </is>
      </c>
      <c r="H5" s="16" t="inlineStr">
        <is>
          <t>Trade Program</t>
        </is>
      </c>
      <c r="I5" s="22" t="n"/>
    </row>
    <row r="6">
      <c r="A6" s="16" t="inlineStr">
        <is>
          <t>trade program for interior designers</t>
        </is>
      </c>
      <c r="B6" s="16" t="n">
        <v>30</v>
      </c>
      <c r="C6" s="16" t="inlineStr">
        <is>
          <t>—</t>
        </is>
      </c>
      <c r="D6" s="16" t="n"/>
      <c r="E6" s="21" t="n">
        <v>10.69</v>
      </c>
      <c r="F6" s="16" t="inlineStr">
        <is>
          <t>—</t>
        </is>
      </c>
      <c r="G6" s="16" t="inlineStr">
        <is>
          <t>—</t>
        </is>
      </c>
      <c r="H6" s="16" t="inlineStr">
        <is>
          <t>Trade Program</t>
        </is>
      </c>
      <c r="I6" s="22" t="n"/>
    </row>
    <row r="7">
      <c r="A7" s="16" t="inlineStr">
        <is>
          <t>to the trade</t>
        </is>
      </c>
      <c r="B7" s="16" t="n">
        <v>210</v>
      </c>
      <c r="C7" s="16" t="inlineStr">
        <is>
          <t>—</t>
        </is>
      </c>
      <c r="D7" s="16" t="n"/>
      <c r="E7" s="16" t="n"/>
      <c r="F7" s="16" t="inlineStr">
        <is>
          <t>Caracole</t>
        </is>
      </c>
      <c r="G7" s="16" t="inlineStr">
        <is>
          <t>#12</t>
        </is>
      </c>
      <c r="H7" s="16" t="inlineStr">
        <is>
          <t>Trade Program</t>
        </is>
      </c>
      <c r="I7" s="22" t="n"/>
    </row>
    <row r="8">
      <c r="A8" s="16" t="inlineStr">
        <is>
          <t>into trade</t>
        </is>
      </c>
      <c r="B8" s="16" t="n">
        <v>320</v>
      </c>
      <c r="C8" s="16" t="inlineStr">
        <is>
          <t>—</t>
        </is>
      </c>
      <c r="D8" s="16" t="n"/>
      <c r="E8" s="16" t="n"/>
      <c r="F8" s="16" t="inlineStr">
        <is>
          <t>Caracole</t>
        </is>
      </c>
      <c r="G8" s="16" t="inlineStr">
        <is>
          <t>#39</t>
        </is>
      </c>
      <c r="H8" s="16" t="inlineStr">
        <is>
          <t>Trade Program</t>
        </is>
      </c>
      <c r="I8" s="22" t="n"/>
    </row>
    <row r="9">
      <c r="A9" s="16" t="inlineStr">
        <is>
          <t>ethan allen trade program</t>
        </is>
      </c>
      <c r="B9" s="16" t="n">
        <v>50</v>
      </c>
      <c r="C9" s="16" t="inlineStr">
        <is>
          <t>Navigational</t>
        </is>
      </c>
      <c r="D9" s="16" t="n">
        <v>14</v>
      </c>
      <c r="E9" s="21" t="n">
        <v>4.77</v>
      </c>
      <c r="F9" s="16" t="inlineStr">
        <is>
          <t>Ethan Allen</t>
        </is>
      </c>
      <c r="G9" s="16" t="inlineStr">
        <is>
          <t>#1</t>
        </is>
      </c>
      <c r="H9" s="16" t="inlineStr">
        <is>
          <t>Trade Program (brand-specific benchmark)</t>
        </is>
      </c>
      <c r="I9" s="22" t="n"/>
    </row>
    <row r="10">
      <c r="A10" s="16" t="inlineStr">
        <is>
          <t>furniture franchise opportunities</t>
        </is>
      </c>
      <c r="B10" s="16" t="n">
        <v>70</v>
      </c>
      <c r="C10" s="16" t="inlineStr">
        <is>
          <t>Informational, Commercial</t>
        </is>
      </c>
      <c r="D10" s="16" t="n">
        <v>11</v>
      </c>
      <c r="E10" s="21" t="n">
        <v>0</v>
      </c>
      <c r="F10" s="16" t="inlineStr">
        <is>
          <t>BoConcept</t>
        </is>
      </c>
      <c r="G10" s="16" t="inlineStr">
        <is>
          <t>#3</t>
        </is>
      </c>
      <c r="H10" s="16" t="inlineStr">
        <is>
          <t>Franchise Hub</t>
        </is>
      </c>
      <c r="I10" s="22" t="n"/>
    </row>
    <row r="11">
      <c r="A11" s="16" t="inlineStr">
        <is>
          <t>furniture franchise</t>
        </is>
      </c>
      <c r="B11" s="16" t="n">
        <v>50</v>
      </c>
      <c r="C11" s="16" t="inlineStr">
        <is>
          <t>Informational</t>
        </is>
      </c>
      <c r="D11" s="16" t="n">
        <v>16</v>
      </c>
      <c r="E11" s="21" t="n">
        <v>2.33</v>
      </c>
      <c r="F11" s="16" t="inlineStr">
        <is>
          <t>BoConcept</t>
        </is>
      </c>
      <c r="G11" s="16" t="inlineStr">
        <is>
          <t>#6</t>
        </is>
      </c>
      <c r="H11" s="16" t="inlineStr">
        <is>
          <t>Franchise Hub</t>
        </is>
      </c>
      <c r="I11" s="22" t="n"/>
    </row>
    <row r="12">
      <c r="A12" s="16" t="inlineStr">
        <is>
          <t>furniture store franchise</t>
        </is>
      </c>
      <c r="B12" s="16" t="n">
        <v>20</v>
      </c>
      <c r="C12" s="16" t="inlineStr">
        <is>
          <t>—</t>
        </is>
      </c>
      <c r="D12" s="16" t="n"/>
      <c r="E12" s="21" t="n">
        <v>2.97</v>
      </c>
      <c r="F12" s="16" t="inlineStr">
        <is>
          <t>—</t>
        </is>
      </c>
      <c r="G12" s="16" t="inlineStr">
        <is>
          <t>—</t>
        </is>
      </c>
      <c r="H12" s="16" t="inlineStr">
        <is>
          <t>Franchise Hub</t>
        </is>
      </c>
      <c r="I12" s="22" t="n"/>
    </row>
    <row r="13">
      <c r="A13" s="16" t="inlineStr">
        <is>
          <t>wholesale furniture companies in north carolina</t>
        </is>
      </c>
      <c r="B13" s="16" t="n">
        <v>90</v>
      </c>
      <c r="C13" s="16" t="inlineStr">
        <is>
          <t>Commercial</t>
        </is>
      </c>
      <c r="D13" s="16" t="n">
        <v>54</v>
      </c>
      <c r="E13" s="21" t="n">
        <v>0.84</v>
      </c>
      <c r="F13" s="16" t="inlineStr">
        <is>
          <t>Bernhardt</t>
        </is>
      </c>
      <c r="G13" s="16" t="inlineStr">
        <is>
          <t>#14</t>
        </is>
      </c>
      <c r="H13" s="16" t="inlineStr">
        <is>
          <t>One-off geo page (not a broad theme)</t>
        </is>
      </c>
      <c r="I13" s="22" t="n"/>
    </row>
    <row r="15">
      <c r="A15" s="3" t="inlineStr">
        <is>
          <t>Deprioritized themes — do not target as broad campaigns</t>
        </is>
      </c>
    </row>
    <row r="16">
      <c r="A16" s="23" t="inlineStr">
        <is>
          <t>"Wholesale" (broad)</t>
        </is>
      </c>
      <c r="B16" s="4" t="inlineStr">
        <is>
          <t>Top results are named local wholesale-furniture retailers (Knoxville Wholesale Furniture, Sam's Wholesale Patio Furniture) — real businesses, not B2B dealer-relationship intent.</t>
        </is>
      </c>
    </row>
    <row r="17">
      <c r="A17" s="23" t="inlineStr">
        <is>
          <t>"Dealer" (broad)</t>
        </is>
      </c>
      <c r="B17" s="4" t="inlineStr">
        <is>
          <t>Broad match stems "dealer" into "deals" — top results are Black Friday/Costco furniture-discount searches. Doesn't measure a real B2B audience.</t>
        </is>
      </c>
    </row>
  </sheetData>
  <mergeCells count="2">
    <mergeCell ref="B16:I16"/>
    <mergeCell ref="B17:I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5" customWidth="1" min="5" max="5"/>
    <col width="14" customWidth="1" min="6" max="6"/>
    <col width="32" customWidth="1" min="7" max="7"/>
  </cols>
  <sheetData>
    <row r="1">
      <c r="A1" s="8" t="inlineStr">
        <is>
          <t>Domain</t>
        </is>
      </c>
      <c r="B1" s="8" t="inlineStr">
        <is>
          <t>Authority Score</t>
        </is>
      </c>
      <c r="C1" s="8" t="inlineStr">
        <is>
          <t>Backlinks</t>
        </is>
      </c>
      <c r="D1" s="8" t="inlineStr">
        <is>
          <t>Ref. Domains</t>
        </is>
      </c>
      <c r="E1" s="8" t="inlineStr">
        <is>
          <t>Organic Keywords</t>
        </is>
      </c>
      <c r="F1" s="8" t="inlineStr">
        <is>
          <t>Organic Traffic</t>
        </is>
      </c>
      <c r="G1" s="8" t="inlineStr">
        <is>
          <t>Model</t>
        </is>
      </c>
    </row>
    <row r="2">
      <c r="A2" s="16" t="inlineStr">
        <is>
          <t>adrianahoyos.com</t>
        </is>
      </c>
      <c r="B2" s="16" t="inlineStr">
        <is>
          <t>27 (Good)</t>
        </is>
      </c>
      <c r="C2" s="16" t="inlineStr">
        <is>
          <t>37.6K</t>
        </is>
      </c>
      <c r="D2" s="16" t="n">
        <v>578</v>
      </c>
      <c r="E2" s="16" t="n">
        <v>190</v>
      </c>
      <c r="F2" s="16" t="inlineStr">
        <is>
          <t>1.6K</t>
        </is>
      </c>
      <c r="G2" s="16" t="inlineStr">
        <is>
          <t>Baseline — this client</t>
        </is>
      </c>
    </row>
    <row r="3">
      <c r="A3" s="16" t="inlineStr">
        <is>
          <t>Caracole</t>
        </is>
      </c>
      <c r="B3" s="16" t="inlineStr">
        <is>
          <t>34 (Very good)</t>
        </is>
      </c>
      <c r="C3" s="16" t="inlineStr">
        <is>
          <t>31.1K</t>
        </is>
      </c>
      <c r="D3" s="16" t="n">
        <v>974</v>
      </c>
      <c r="E3" s="16" t="inlineStr">
        <is>
          <t>2.6K</t>
        </is>
      </c>
      <c r="F3" s="16" t="inlineStr">
        <is>
          <t>11.1K</t>
        </is>
      </c>
      <c r="G3" s="16" t="inlineStr">
        <is>
          <t>Trade program</t>
        </is>
      </c>
    </row>
    <row r="4">
      <c r="A4" s="16" t="inlineStr">
        <is>
          <t>BoConcept</t>
        </is>
      </c>
      <c r="B4" s="16" t="inlineStr">
        <is>
          <t>53 (Excellent)</t>
        </is>
      </c>
      <c r="C4" s="16" t="inlineStr">
        <is>
          <t>257.6K</t>
        </is>
      </c>
      <c r="D4" s="16" t="inlineStr">
        <is>
          <t>11.9K</t>
        </is>
      </c>
      <c r="E4" s="16" t="inlineStr">
        <is>
          <t>7.5K</t>
        </is>
      </c>
      <c r="F4" s="16" t="inlineStr">
        <is>
          <t>16.4K</t>
        </is>
      </c>
      <c r="G4" s="16" t="inlineStr">
        <is>
          <t>Franchise</t>
        </is>
      </c>
    </row>
    <row r="5">
      <c r="A5" s="16" t="inlineStr">
        <is>
          <t>Roche Bobois</t>
        </is>
      </c>
      <c r="B5" s="16" t="inlineStr">
        <is>
          <t>52 (Excellent)</t>
        </is>
      </c>
      <c r="C5" s="16" t="inlineStr">
        <is>
          <t>1M</t>
        </is>
      </c>
      <c r="D5" s="16" t="inlineStr">
        <is>
          <t>7.4K</t>
        </is>
      </c>
      <c r="E5" s="16" t="inlineStr">
        <is>
          <t>5.6K</t>
        </is>
      </c>
      <c r="F5" s="16" t="inlineStr">
        <is>
          <t>44.8K</t>
        </is>
      </c>
      <c r="G5" s="16" t="inlineStr">
        <is>
          <t>Franchise</t>
        </is>
      </c>
    </row>
    <row r="6">
      <c r="A6" s="16" t="inlineStr">
        <is>
          <t>Ethan Allen</t>
        </is>
      </c>
      <c r="B6" s="16" t="inlineStr">
        <is>
          <t>53 (Excellent)</t>
        </is>
      </c>
      <c r="C6" s="16" t="inlineStr">
        <is>
          <t>2.9M</t>
        </is>
      </c>
      <c r="D6" s="16" t="inlineStr">
        <is>
          <t>10K</t>
        </is>
      </c>
      <c r="E6" s="16" t="inlineStr">
        <is>
          <t>120.9K</t>
        </is>
      </c>
      <c r="F6" s="16" t="inlineStr">
        <is>
          <t>550.8K</t>
        </is>
      </c>
      <c r="G6" s="16" t="inlineStr">
        <is>
          <t>Independent dealer / licensee</t>
        </is>
      </c>
    </row>
    <row r="7">
      <c r="A7" s="16" t="inlineStr">
        <is>
          <t>Bernhardt</t>
        </is>
      </c>
      <c r="B7" s="16" t="inlineStr">
        <is>
          <t>40 (Very good)</t>
        </is>
      </c>
      <c r="C7" s="16" t="inlineStr">
        <is>
          <t>34.1K</t>
        </is>
      </c>
      <c r="D7" s="16" t="inlineStr">
        <is>
          <t>4.2K</t>
        </is>
      </c>
      <c r="E7" s="16" t="inlineStr">
        <is>
          <t>17K</t>
        </is>
      </c>
      <c r="F7" s="16" t="inlineStr">
        <is>
          <t>101.5K</t>
        </is>
      </c>
      <c r="G7" s="16" t="inlineStr">
        <is>
          <t>Trade program + dealer network</t>
        </is>
      </c>
    </row>
    <row r="8">
      <c r="A8" s="16" t="inlineStr">
        <is>
          <t>Artefacto</t>
        </is>
      </c>
      <c r="B8" s="16" t="inlineStr">
        <is>
          <t>Not yet verified</t>
        </is>
      </c>
      <c r="C8" s="16" t="inlineStr">
        <is>
          <t>—</t>
        </is>
      </c>
      <c r="D8" s="16" t="inlineStr">
        <is>
          <t>—</t>
        </is>
      </c>
      <c r="E8" s="16" t="inlineStr">
        <is>
          <t>—</t>
        </is>
      </c>
      <c r="F8" s="16" t="inlineStr">
        <is>
          <t>—</t>
        </is>
      </c>
      <c r="G8" s="16" t="inlineStr">
        <is>
          <t>LatAm-origin luxury peer — data pending</t>
        </is>
      </c>
    </row>
    <row r="10">
      <c r="A10" s="2" t="inlineStr">
        <is>
          <t>Source: Semrush Domain Overview, US database, Jul 15 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4" customWidth="1" min="3" max="3"/>
    <col width="20" customWidth="1" min="4" max="4"/>
  </cols>
  <sheetData>
    <row r="1">
      <c r="A1" s="8" t="inlineStr">
        <is>
          <t>Item</t>
        </is>
      </c>
      <c r="B1" s="8" t="inlineStr">
        <is>
          <t>Status</t>
        </is>
      </c>
      <c r="C1" s="8" t="inlineStr">
        <is>
          <t>Blocks</t>
        </is>
      </c>
      <c r="D1" s="8" t="inlineStr">
        <is>
          <t>Owner</t>
        </is>
      </c>
    </row>
    <row r="2">
      <c r="A2" s="16" t="inlineStr">
        <is>
          <t>Google Analytics 4 access</t>
        </is>
      </c>
      <c r="B2" s="16" t="inlineStr">
        <is>
          <t>Not yet granted</t>
        </is>
      </c>
      <c r="C2" s="16" t="inlineStr">
        <is>
          <t>Precise Phase 2 keyword/traffic targeting</t>
        </is>
      </c>
      <c r="D2" s="16" t="inlineStr">
        <is>
          <t>Alegria (client)</t>
        </is>
      </c>
    </row>
    <row r="3">
      <c r="A3" s="16" t="inlineStr">
        <is>
          <t>Google Search Console access</t>
        </is>
      </c>
      <c r="B3" s="16" t="inlineStr">
        <is>
          <t>Not yet granted</t>
        </is>
      </c>
      <c r="C3" s="16" t="inlineStr">
        <is>
          <t>Precise Phase 2 keyword/traffic targeting</t>
        </is>
      </c>
      <c r="D3" s="16" t="inlineStr">
        <is>
          <t>Alegria (client)</t>
        </is>
      </c>
    </row>
    <row r="4">
      <c r="A4" s="16" t="inlineStr">
        <is>
          <t>Semrush API units</t>
        </is>
      </c>
      <c r="B4" s="16" t="inlineStr">
        <is>
          <t>Exhausted on EmberTribe account as of Jul '26</t>
        </is>
      </c>
      <c r="C4" s="16" t="inlineStr">
        <is>
          <t>Refreshed live competitive tracking</t>
        </is>
      </c>
      <c r="D4" s="16" t="inlineStr">
        <is>
          <t>EmberTribe internal</t>
        </is>
      </c>
    </row>
    <row r="5">
      <c r="A5" s="16" t="inlineStr">
        <is>
          <t>CMS / dev platform access</t>
        </is>
      </c>
      <c r="B5" s="16" t="inlineStr">
        <is>
          <t>Not yet confirmed</t>
        </is>
      </c>
      <c r="C5" s="16" t="inlineStr">
        <is>
          <t>All Phase 1 technical fixes</t>
        </is>
      </c>
      <c r="D5" s="16" t="inlineStr">
        <is>
          <t>Christopher (client)</t>
        </is>
      </c>
    </row>
    <row r="6">
      <c r="A6" s="16" t="inlineStr">
        <is>
          <t>.us domain registration / DNS</t>
        </is>
      </c>
      <c r="B6" s="16" t="inlineStr">
        <is>
          <t>Status unknown</t>
        </is>
      </c>
      <c r="C6" s="16" t="inlineStr">
        <is>
          <t>Phase 2 launch</t>
        </is>
      </c>
      <c r="D6" s="16" t="inlineStr">
        <is>
          <t>Alegria / Christopher (client)</t>
        </is>
      </c>
    </row>
    <row r="7">
      <c r="A7" s="16" t="inlineStr">
        <is>
          <t>Design Studio subdomain hosting access</t>
        </is>
      </c>
      <c r="B7" s="16" t="inlineStr">
        <is>
          <t>Status unknown</t>
        </is>
      </c>
      <c r="C7" s="16" t="inlineStr">
        <is>
          <t>robots.txt noindex task (P1-06)</t>
        </is>
      </c>
      <c r="D7" s="16" t="inlineStr">
        <is>
          <t>Christopher (client)</t>
        </is>
      </c>
    </row>
    <row r="8">
      <c r="A8" s="16" t="inlineStr">
        <is>
          <t>Google Business Profile admin access</t>
        </is>
      </c>
      <c r="B8" s="16" t="inlineStr">
        <is>
          <t>Status unknown</t>
        </is>
      </c>
      <c r="C8" s="16" t="inlineStr">
        <is>
          <t>Local citation/NAP work (P2-07)</t>
        </is>
      </c>
      <c r="D8" s="16" t="inlineStr">
        <is>
          <t>Alegria (client)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2026-07-17T00:08:18Z</dcterms:created>
  <dcterms:modified xmlns:dcterms="http://purl.org/dc/terms/" xmlns:xsi="http://www.w3.org/2001/XMLSchema-instance" xsi:type="dcterms:W3CDTF">2026-07-17T00:08:18Z</dcterms:modified>
</cp:coreProperties>
</file>